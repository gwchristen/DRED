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irate\Desktop\"/>
    </mc:Choice>
  </mc:AlternateContent>
  <xr:revisionPtr revIDLastSave="0" documentId="13_ncr:1_{292C25A5-B794-4C31-AA32-4509C7E64B04}" xr6:coauthVersionLast="47" xr6:coauthVersionMax="47" xr10:uidLastSave="{00000000-0000-0000-0000-000000000000}"/>
  <bookViews>
    <workbookView xWindow="-108" yWindow="-108" windowWidth="30936" windowHeight="16776" xr2:uid="{148915EC-0DBD-4B8C-A318-C0C1E713A0CF}"/>
  </bookViews>
  <sheets>
    <sheet name="OH - Meters" sheetId="7" r:id="rId1"/>
    <sheet name="I&amp;M - Meters" sheetId="6" r:id="rId2"/>
    <sheet name="OH - Transformers" sheetId="5" r:id="rId3"/>
    <sheet name="I&amp;M - Transformer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3" i="6" l="1"/>
  <c r="H114" i="6"/>
  <c r="H115" i="6"/>
  <c r="H155" i="7"/>
  <c r="H156" i="7"/>
  <c r="Q120" i="5"/>
  <c r="Q201" i="7"/>
  <c r="Q200" i="7"/>
  <c r="Q199" i="7"/>
  <c r="Q198" i="7"/>
  <c r="Q197" i="7"/>
  <c r="Q196" i="7"/>
  <c r="Q195" i="7"/>
  <c r="Q194" i="7"/>
  <c r="Q193" i="7"/>
  <c r="Q192" i="7"/>
  <c r="Q191" i="7"/>
  <c r="Q190" i="7"/>
  <c r="Q189" i="7"/>
  <c r="Q188" i="7"/>
  <c r="Q187" i="7"/>
  <c r="Q186" i="7"/>
  <c r="Q185" i="7"/>
  <c r="Q184" i="7"/>
  <c r="Q183" i="7"/>
  <c r="Q182" i="7"/>
  <c r="Q181" i="7"/>
  <c r="Q180" i="7"/>
  <c r="Q179" i="7"/>
  <c r="Q178" i="7"/>
  <c r="Q177" i="7"/>
  <c r="Q176" i="7"/>
  <c r="Q175" i="7"/>
  <c r="Q174" i="7"/>
  <c r="Q173" i="7"/>
  <c r="Q172" i="7"/>
  <c r="Q171" i="7"/>
  <c r="Q170" i="7"/>
  <c r="Q169" i="7"/>
  <c r="Q168" i="7"/>
  <c r="Q167" i="7"/>
  <c r="Q166" i="7"/>
  <c r="Q165" i="7"/>
  <c r="Q164" i="7"/>
  <c r="Q163" i="7"/>
  <c r="Q162" i="7"/>
  <c r="Q161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Q101" i="5"/>
  <c r="Q100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1" i="5"/>
  <c r="Q122" i="5"/>
  <c r="Q123" i="5"/>
  <c r="Q124" i="5"/>
  <c r="Q125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7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7" i="7"/>
  <c r="H158" i="7"/>
  <c r="Q91" i="5"/>
  <c r="Q92" i="5"/>
  <c r="Q93" i="5"/>
  <c r="Q94" i="5"/>
  <c r="Q95" i="5"/>
  <c r="Q96" i="5"/>
  <c r="Q97" i="5"/>
  <c r="Q98" i="5"/>
  <c r="Q99" i="5"/>
  <c r="H82" i="5"/>
  <c r="H121" i="7"/>
  <c r="H116" i="7"/>
  <c r="H117" i="7"/>
  <c r="H118" i="7"/>
  <c r="H119" i="7"/>
  <c r="H120" i="7"/>
  <c r="H122" i="7"/>
  <c r="H123" i="7"/>
  <c r="H124" i="7"/>
  <c r="H125" i="7"/>
  <c r="H126" i="7"/>
  <c r="H127" i="7"/>
  <c r="H128" i="7"/>
  <c r="H129" i="7"/>
  <c r="H130" i="7"/>
  <c r="H131" i="7"/>
  <c r="H132" i="7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Q81" i="5"/>
  <c r="Q82" i="5"/>
  <c r="Q83" i="5"/>
  <c r="Q84" i="5"/>
  <c r="Q85" i="5"/>
  <c r="Q86" i="5"/>
  <c r="Q87" i="5"/>
  <c r="Q88" i="5"/>
  <c r="Q89" i="5"/>
  <c r="Q90" i="5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H110" i="7"/>
  <c r="H108" i="7"/>
  <c r="H109" i="7"/>
  <c r="H111" i="7"/>
  <c r="H112" i="7"/>
  <c r="H113" i="7"/>
  <c r="H114" i="7"/>
  <c r="H115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H105" i="7"/>
  <c r="H106" i="7"/>
  <c r="H107" i="7"/>
  <c r="Q103" i="7"/>
  <c r="Q104" i="7"/>
  <c r="Q105" i="7"/>
  <c r="Q106" i="7"/>
  <c r="Q107" i="7"/>
  <c r="H111" i="6" l="1"/>
  <c r="H110" i="6"/>
  <c r="A91" i="7" l="1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2" i="6"/>
  <c r="H103" i="6"/>
  <c r="H104" i="6"/>
  <c r="H105" i="6"/>
  <c r="H106" i="6"/>
  <c r="H107" i="6"/>
  <c r="H108" i="6"/>
  <c r="H109" i="6"/>
  <c r="H112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A3" i="7" l="1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2" i="1"/>
  <c r="A2" i="7"/>
  <c r="A2" i="6"/>
  <c r="A2" i="5"/>
  <c r="A75" i="5"/>
  <c r="A76" i="5"/>
  <c r="A77" i="5"/>
  <c r="A78" i="5"/>
  <c r="A79" i="5"/>
  <c r="A80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3" i="5"/>
  <c r="A4" i="5"/>
  <c r="A5" i="5"/>
  <c r="A6" i="5"/>
  <c r="A7" i="5"/>
  <c r="A8" i="5"/>
  <c r="A9" i="5"/>
  <c r="A10" i="5"/>
  <c r="A11" i="5"/>
  <c r="A12" i="5"/>
  <c r="Q20" i="6" l="1"/>
  <c r="H20" i="6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Q101" i="6" l="1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H101" i="6"/>
  <c r="Q77" i="7"/>
  <c r="Q78" i="7"/>
  <c r="Q79" i="7"/>
  <c r="Q80" i="7"/>
  <c r="Q81" i="7"/>
  <c r="Q82" i="7"/>
  <c r="Q83" i="7"/>
  <c r="Q84" i="7"/>
  <c r="Q85" i="7"/>
  <c r="Q86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2" i="7"/>
  <c r="Q2" i="6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2" i="5"/>
  <c r="Q2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100" i="6"/>
  <c r="Q99" i="6"/>
  <c r="H46" i="6"/>
  <c r="H96" i="6"/>
  <c r="H97" i="6"/>
  <c r="H98" i="6"/>
  <c r="H99" i="6"/>
  <c r="H100" i="6"/>
  <c r="H88" i="6"/>
  <c r="H85" i="6" l="1"/>
  <c r="H86" i="6"/>
  <c r="H87" i="6"/>
  <c r="H74" i="6"/>
  <c r="H75" i="6"/>
  <c r="H76" i="6"/>
  <c r="H77" i="6"/>
  <c r="H78" i="6"/>
  <c r="H79" i="6"/>
  <c r="H80" i="6"/>
  <c r="H81" i="6"/>
  <c r="H82" i="6"/>
  <c r="H83" i="6"/>
  <c r="H84" i="6"/>
  <c r="H89" i="6"/>
  <c r="H90" i="6"/>
  <c r="H91" i="6"/>
  <c r="H92" i="6"/>
  <c r="H93" i="6"/>
  <c r="H94" i="6"/>
  <c r="H95" i="6"/>
  <c r="H241" i="6"/>
  <c r="H242" i="6"/>
  <c r="H62" i="7"/>
  <c r="H61" i="7"/>
  <c r="H60" i="7"/>
  <c r="H55" i="7"/>
  <c r="H56" i="7"/>
  <c r="H57" i="7"/>
  <c r="H58" i="7"/>
  <c r="H59" i="7"/>
  <c r="H63" i="7"/>
  <c r="H64" i="7"/>
  <c r="H65" i="7"/>
  <c r="H66" i="7"/>
  <c r="H67" i="7"/>
  <c r="H51" i="7" l="1"/>
  <c r="H55" i="6" l="1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46" i="7"/>
  <c r="H47" i="6"/>
  <c r="H48" i="6"/>
  <c r="H44" i="7"/>
  <c r="H45" i="7"/>
  <c r="H47" i="7"/>
  <c r="H48" i="7"/>
  <c r="H49" i="7"/>
  <c r="H50" i="7"/>
  <c r="H52" i="7"/>
  <c r="H53" i="7"/>
  <c r="H54" i="7"/>
  <c r="H40" i="6"/>
  <c r="H38" i="6"/>
  <c r="H39" i="6"/>
  <c r="H41" i="7"/>
  <c r="H42" i="6"/>
  <c r="H43" i="6"/>
  <c r="H44" i="6"/>
  <c r="H45" i="6"/>
  <c r="H49" i="6"/>
  <c r="H50" i="6"/>
  <c r="H51" i="6"/>
  <c r="H52" i="6"/>
  <c r="H53" i="6"/>
  <c r="H54" i="6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2" i="7"/>
  <c r="H43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2" i="7"/>
  <c r="H2" i="6"/>
  <c r="H32" i="6"/>
  <c r="H33" i="6"/>
  <c r="H34" i="6"/>
  <c r="H35" i="6"/>
  <c r="H36" i="6"/>
  <c r="H37" i="6"/>
  <c r="H41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1" i="6"/>
  <c r="H22" i="6"/>
  <c r="H23" i="6"/>
  <c r="H24" i="6"/>
  <c r="H25" i="6"/>
  <c r="H26" i="6"/>
  <c r="H27" i="6"/>
  <c r="H28" i="6"/>
  <c r="H29" i="6"/>
  <c r="H30" i="6"/>
  <c r="H31" i="6"/>
  <c r="H2" i="1" l="1"/>
  <c r="H3" i="1" l="1"/>
</calcChain>
</file>

<file path=xl/sharedStrings.xml><?xml version="1.0" encoding="utf-8"?>
<sst xmlns="http://schemas.openxmlformats.org/spreadsheetml/2006/main" count="2852" uniqueCount="215">
  <si>
    <t>PMNA1</t>
  </si>
  <si>
    <t>04</t>
  </si>
  <si>
    <t>08</t>
  </si>
  <si>
    <t>Pur. Code</t>
  </si>
  <si>
    <t>M.E. #</t>
  </si>
  <si>
    <t>CID</t>
  </si>
  <si>
    <t>Unit Cost</t>
  </si>
  <si>
    <t>Recv Date</t>
  </si>
  <si>
    <t>PO Number</t>
  </si>
  <si>
    <t>PO Date</t>
  </si>
  <si>
    <t>Qty</t>
  </si>
  <si>
    <t>End Ser</t>
  </si>
  <si>
    <t>Beg Ser</t>
  </si>
  <si>
    <t>Dev Code</t>
  </si>
  <si>
    <t>MFR</t>
  </si>
  <si>
    <t>Status</t>
  </si>
  <si>
    <t>CF290</t>
  </si>
  <si>
    <t>OH</t>
  </si>
  <si>
    <t>IM</t>
  </si>
  <si>
    <t>0078100875</t>
  </si>
  <si>
    <t>12JAB</t>
  </si>
  <si>
    <t>07</t>
  </si>
  <si>
    <t>14</t>
  </si>
  <si>
    <t>11</t>
  </si>
  <si>
    <t>36</t>
  </si>
  <si>
    <t>Column1</t>
  </si>
  <si>
    <t>0710057111</t>
  </si>
  <si>
    <t>C822K</t>
  </si>
  <si>
    <t xml:space="preserve"> 04AB2 </t>
  </si>
  <si>
    <t>C8290</t>
  </si>
  <si>
    <t xml:space="preserve"> C839K </t>
  </si>
  <si>
    <t>0710059876</t>
  </si>
  <si>
    <t>C829K</t>
  </si>
  <si>
    <t>0500070360</t>
  </si>
  <si>
    <t>C839K</t>
  </si>
  <si>
    <t xml:space="preserve"> 30AP% </t>
  </si>
  <si>
    <t>04APE</t>
  </si>
  <si>
    <t>0710054340</t>
  </si>
  <si>
    <t>04JAB</t>
  </si>
  <si>
    <t>0500056327</t>
  </si>
  <si>
    <t>CF39K</t>
  </si>
  <si>
    <t>C839k</t>
  </si>
  <si>
    <t>0500072367</t>
  </si>
  <si>
    <t>CF39W</t>
  </si>
  <si>
    <t>0078103170</t>
  </si>
  <si>
    <t>CF620</t>
  </si>
  <si>
    <t>0710059877</t>
  </si>
  <si>
    <t>CF62K</t>
  </si>
  <si>
    <t>0710056044</t>
  </si>
  <si>
    <t>M0445</t>
  </si>
  <si>
    <t>9900115287</t>
  </si>
  <si>
    <t>M0475</t>
  </si>
  <si>
    <t>M0405</t>
  </si>
  <si>
    <t>MK16X</t>
  </si>
  <si>
    <t>0078105840</t>
  </si>
  <si>
    <t>VT040</t>
  </si>
  <si>
    <t>VTVTP</t>
  </si>
  <si>
    <t>0710056317</t>
  </si>
  <si>
    <t>MK16D</t>
  </si>
  <si>
    <t>0710056315</t>
  </si>
  <si>
    <t>MK29D</t>
  </si>
  <si>
    <t>VD030</t>
  </si>
  <si>
    <t>NMD06</t>
  </si>
  <si>
    <t>0710055999</t>
  </si>
  <si>
    <t>-</t>
  </si>
  <si>
    <t>NAD06</t>
  </si>
  <si>
    <t>0710058285</t>
  </si>
  <si>
    <t>MK29X</t>
  </si>
  <si>
    <t>0078100140</t>
  </si>
  <si>
    <t>Est.</t>
  </si>
  <si>
    <t>0710058289</t>
  </si>
  <si>
    <t>NMD36</t>
  </si>
  <si>
    <t>9900038747</t>
  </si>
  <si>
    <t>9900038745</t>
  </si>
  <si>
    <t>MK55X</t>
  </si>
  <si>
    <t>0710054341</t>
  </si>
  <si>
    <t>9900114989</t>
  </si>
  <si>
    <t>0710054859</t>
  </si>
  <si>
    <t>MK55D</t>
  </si>
  <si>
    <t>0710056316</t>
  </si>
  <si>
    <t>O8</t>
  </si>
  <si>
    <t>(1-3)07016952</t>
  </si>
  <si>
    <t>(1-3)07016773</t>
  </si>
  <si>
    <t>(1-3)07017355</t>
  </si>
  <si>
    <t>(1-3)07017444</t>
  </si>
  <si>
    <t>PMNA8</t>
  </si>
  <si>
    <t>9900114988</t>
  </si>
  <si>
    <t>9900114972</t>
  </si>
  <si>
    <t>0710058283</t>
  </si>
  <si>
    <t>NVD06</t>
  </si>
  <si>
    <t>G3008</t>
  </si>
  <si>
    <t>C2420</t>
  </si>
  <si>
    <t>C242G</t>
  </si>
  <si>
    <t>(1-3)07017531</t>
  </si>
  <si>
    <t>(1-3)07017710</t>
  </si>
  <si>
    <t>9900114973</t>
  </si>
  <si>
    <t>9900039011</t>
  </si>
  <si>
    <t>C955K</t>
  </si>
  <si>
    <t>0500081910</t>
  </si>
  <si>
    <t>0710059900</t>
  </si>
  <si>
    <t>71059900</t>
  </si>
  <si>
    <t>0710059898</t>
  </si>
  <si>
    <t>0710059901</t>
  </si>
  <si>
    <t>0710059899</t>
  </si>
  <si>
    <t>0710059897</t>
  </si>
  <si>
    <t>9900120450</t>
  </si>
  <si>
    <t>NM001</t>
  </si>
  <si>
    <t>9900057040</t>
  </si>
  <si>
    <t>HK175</t>
  </si>
  <si>
    <t>0710058288</t>
  </si>
  <si>
    <t>HK165</t>
  </si>
  <si>
    <t>C8220</t>
  </si>
  <si>
    <t>VD221</t>
  </si>
  <si>
    <t>11VRS</t>
  </si>
  <si>
    <t>HK393</t>
  </si>
  <si>
    <t>0710059420</t>
  </si>
  <si>
    <t>0710059729</t>
  </si>
  <si>
    <t>71059420</t>
  </si>
  <si>
    <t>Proj.</t>
  </si>
  <si>
    <t>Ops (UL)</t>
  </si>
  <si>
    <t>Ops</t>
  </si>
  <si>
    <t>9900038751</t>
  </si>
  <si>
    <t>NMD15</t>
  </si>
  <si>
    <t>9900038726</t>
  </si>
  <si>
    <t>99038726</t>
  </si>
  <si>
    <t>APCO</t>
  </si>
  <si>
    <t>NM008</t>
  </si>
  <si>
    <t>0710055998</t>
  </si>
  <si>
    <t>PM0F8</t>
  </si>
  <si>
    <t>9900114944</t>
  </si>
  <si>
    <t>PM0F1</t>
  </si>
  <si>
    <t>9900114975</t>
  </si>
  <si>
    <t>9900114974</t>
  </si>
  <si>
    <t>99114974</t>
  </si>
  <si>
    <t>99114975</t>
  </si>
  <si>
    <t>99114973</t>
  </si>
  <si>
    <t>99114972</t>
  </si>
  <si>
    <t>PM0G1</t>
  </si>
  <si>
    <t>9900114976</t>
  </si>
  <si>
    <t>M0425</t>
  </si>
  <si>
    <t>0710056042</t>
  </si>
  <si>
    <t>0710056043</t>
  </si>
  <si>
    <t>0710056000</t>
  </si>
  <si>
    <t xml:space="preserve">NMD06 </t>
  </si>
  <si>
    <t>9900038727</t>
  </si>
  <si>
    <t>AMI</t>
  </si>
  <si>
    <t>9900038746</t>
  </si>
  <si>
    <t>PM008</t>
  </si>
  <si>
    <t>9900114990</t>
  </si>
  <si>
    <t>NP008</t>
  </si>
  <si>
    <t>9900118525</t>
  </si>
  <si>
    <t>71056042</t>
  </si>
  <si>
    <t>99115287</t>
  </si>
  <si>
    <t>71056044</t>
  </si>
  <si>
    <t>PMOF8</t>
  </si>
  <si>
    <t>0710056011</t>
  </si>
  <si>
    <t>UL</t>
  </si>
  <si>
    <t>0710055991</t>
  </si>
  <si>
    <t>99114990</t>
  </si>
  <si>
    <t>0500080568</t>
  </si>
  <si>
    <t>9900078844</t>
  </si>
  <si>
    <t>NM038</t>
  </si>
  <si>
    <t>0500059664</t>
  </si>
  <si>
    <t>VT090</t>
  </si>
  <si>
    <t>VTVT9</t>
  </si>
  <si>
    <t>V4DF4</t>
  </si>
  <si>
    <t>(1-3)07018485</t>
  </si>
  <si>
    <t>(1-3)07018664</t>
  </si>
  <si>
    <t>VD090</t>
  </si>
  <si>
    <t>0078105820</t>
  </si>
  <si>
    <t>no data</t>
  </si>
  <si>
    <t>(1-3)07018704</t>
  </si>
  <si>
    <t>(1-3)07018793</t>
  </si>
  <si>
    <t>OpCo2</t>
  </si>
  <si>
    <t>Key</t>
  </si>
  <si>
    <t>71058288</t>
  </si>
  <si>
    <t>9900119323</t>
  </si>
  <si>
    <t>5SNA1</t>
  </si>
  <si>
    <t>99119323</t>
  </si>
  <si>
    <t>VC221</t>
  </si>
  <si>
    <t>0710059890</t>
  </si>
  <si>
    <t>07159890</t>
  </si>
  <si>
    <t>71058289</t>
  </si>
  <si>
    <t>(1-3) 07019853</t>
  </si>
  <si>
    <t>(1-3) 07019942</t>
  </si>
  <si>
    <t>(1-3) 07019973</t>
  </si>
  <si>
    <t>(1-3) 07020062</t>
  </si>
  <si>
    <t>(1-3)07020271</t>
  </si>
  <si>
    <t>(1-3) 07020360</t>
  </si>
  <si>
    <t>(1-3) 07020480</t>
  </si>
  <si>
    <t>(1-3) 07020659</t>
  </si>
  <si>
    <t>(1,3) 19004629</t>
  </si>
  <si>
    <t>(1,3) 19004718</t>
  </si>
  <si>
    <t>MK11D</t>
  </si>
  <si>
    <t>9900123757</t>
  </si>
  <si>
    <t>C8226</t>
  </si>
  <si>
    <t>C829k</t>
  </si>
  <si>
    <t>(1,3) 19004722</t>
  </si>
  <si>
    <t>(1,3) 19004811</t>
  </si>
  <si>
    <t>251885001</t>
  </si>
  <si>
    <t>9900114977</t>
  </si>
  <si>
    <t>(1-3)07020974</t>
  </si>
  <si>
    <t>(1-3)07020885</t>
  </si>
  <si>
    <t>VK353</t>
  </si>
  <si>
    <t>07JVW</t>
  </si>
  <si>
    <t>NMD08</t>
  </si>
  <si>
    <t>9900121393</t>
  </si>
  <si>
    <t>(1-3) 07021043</t>
  </si>
  <si>
    <t>(1-3) 07021222</t>
  </si>
  <si>
    <t>(1-3)07021285</t>
  </si>
  <si>
    <t>(1-3)07021374</t>
  </si>
  <si>
    <t>(1-3)07021567</t>
  </si>
  <si>
    <t>(1-3)07021658</t>
  </si>
  <si>
    <t>Comments</t>
  </si>
  <si>
    <t>Vintage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</si>
</sst>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&quot;$&quot;#,##0.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1"/>
      <name val="Calibri"/>
      <family val="2"/>
    </font>
    <font>
      <strike/>
      <sz val="12"/>
      <name val="Calibri"/>
      <family val="2"/>
      <scheme val="minor"/>
    </font>
    <font>
      <b/>
      <strike/>
      <sz val="12"/>
      <name val="Calibri"/>
      <family val="2"/>
      <scheme val="minor"/>
    </font>
    <font>
      <sz val="12"/>
      <name val="Calibri"/>
      <family val="2"/>
    </font>
    <font>
      <b/>
      <sz val="12"/>
      <color theme="9" tint="0.79998168889431442"/>
      <name val="Calibri"/>
      <family val="2"/>
      <scheme val="minor"/>
    </font>
    <font>
      <sz val="12"/>
      <color rgb="FFFF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4" tint="0.7993408001953185"/>
        <bgColor auto="1"/>
      </patternFill>
    </fill>
    <fill>
      <patternFill patternType="solid">
        <fgColor theme="5" tint="0.7993408001953185"/>
        <bgColor auto="1"/>
      </patternFill>
    </fill>
    <fill>
      <patternFill patternType="solid">
        <fgColor theme="6" tint="0.7993408001953185"/>
        <bgColor auto="1"/>
      </patternFill>
    </fill>
    <fill>
      <patternFill patternType="solid">
        <fgColor theme="7" tint="0.7993408001953185"/>
        <bgColor auto="1"/>
      </patternFill>
    </fill>
    <fill>
      <patternFill patternType="solid">
        <fgColor theme="8" tint="0.7993408001953185"/>
        <bgColor auto="1"/>
      </patternFill>
    </fill>
    <fill>
      <patternFill patternType="solid">
        <fgColor theme="9" tint="0.7993408001953185"/>
        <bgColor auto="1"/>
      </patternFill>
    </fill>
    <fill>
      <patternFill patternType="solid">
        <fgColor theme="4" tint="0.59999389629810485"/>
        <bgColor auto="1"/>
      </patternFill>
    </fill>
    <fill>
      <patternFill patternType="solid">
        <fgColor theme="5" tint="0.59999389629810485"/>
        <bgColor auto="1"/>
      </patternFill>
    </fill>
    <fill>
      <patternFill patternType="solid">
        <fgColor theme="6" tint="0.59999389629810485"/>
        <bgColor auto="1"/>
      </patternFill>
    </fill>
    <fill>
      <patternFill patternType="solid">
        <fgColor theme="7" tint="0.59999389629810485"/>
        <bgColor auto="1"/>
      </patternFill>
    </fill>
    <fill>
      <patternFill patternType="solid">
        <fgColor theme="8" tint="0.59999389629810485"/>
        <bgColor auto="1"/>
      </patternFill>
    </fill>
    <fill>
      <patternFill patternType="solid">
        <fgColor theme="9" tint="0.59999389629810485"/>
        <bgColor auto="1"/>
      </patternFill>
    </fill>
    <fill>
      <patternFill patternType="solid">
        <fgColor theme="4" tint="0.3979918820764794"/>
        <bgColor auto="1"/>
      </patternFill>
    </fill>
    <fill>
      <patternFill patternType="solid">
        <fgColor theme="5" tint="0.3979918820764794"/>
        <bgColor auto="1"/>
      </patternFill>
    </fill>
    <fill>
      <patternFill patternType="solid">
        <fgColor theme="6" tint="0.3979918820764794"/>
        <bgColor auto="1"/>
      </patternFill>
    </fill>
    <fill>
      <patternFill patternType="solid">
        <fgColor theme="7" tint="0.3979918820764794"/>
        <bgColor auto="1"/>
      </patternFill>
    </fill>
    <fill>
      <patternFill patternType="solid">
        <fgColor theme="8" tint="0.3979918820764794"/>
        <bgColor auto="1"/>
      </patternFill>
    </fill>
    <fill>
      <patternFill patternType="solid">
        <fgColor theme="9" tint="0.3979918820764794"/>
        <bgColor auto="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79918820764794"/>
      </bottom>
      <diagonal/>
    </border>
    <border>
      <left/>
      <right style="thick">
        <color indexed="64"/>
      </right>
      <top style="thin">
        <color indexed="64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47">
    <xf numFmtId="0" fontId="0" fillId="0" borderId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17" fillId="9" borderId="16" applyNumberFormat="0" applyAlignment="0" applyProtection="0"/>
    <xf numFmtId="0" fontId="18" fillId="9" borderId="15" applyNumberFormat="0" applyAlignment="0" applyProtection="0"/>
    <xf numFmtId="0" fontId="16" fillId="8" borderId="15" applyNumberFormat="0" applyAlignment="0" applyProtection="0"/>
    <xf numFmtId="0" fontId="1" fillId="0" borderId="20" applyNumberFormat="0" applyFill="0" applyAlignment="0" applyProtection="0"/>
    <xf numFmtId="0" fontId="22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9" fillId="11" borderId="19" applyNumberFormat="0" applyFont="0" applyAlignment="0" applyProtection="0"/>
    <xf numFmtId="0" fontId="15" fillId="7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0" borderId="13" applyNumberFormat="0" applyFill="0" applyAlignment="0" applyProtection="0"/>
    <xf numFmtId="0" fontId="12" fillId="0" borderId="14" applyNumberFormat="0" applyFill="0" applyAlignment="0" applyProtection="0"/>
    <xf numFmtId="0" fontId="13" fillId="0" borderId="21" applyNumberFormat="0" applyFill="0" applyAlignment="0" applyProtection="0"/>
    <xf numFmtId="0" fontId="13" fillId="0" borderId="0" applyNumberFormat="0" applyFill="0" applyBorder="0" applyAlignment="0" applyProtection="0"/>
    <xf numFmtId="0" fontId="19" fillId="0" borderId="17" applyNumberFormat="0" applyFill="0" applyAlignment="0" applyProtection="0"/>
    <xf numFmtId="0" fontId="21" fillId="0" borderId="0" applyNumberFormat="0" applyFill="0" applyBorder="0" applyAlignment="0" applyProtection="0"/>
    <xf numFmtId="0" fontId="20" fillId="10" borderId="18" applyNumberForma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44" fontId="9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49" fontId="3" fillId="36" borderId="0" xfId="0" applyNumberFormat="1" applyFont="1" applyFill="1" applyAlignment="1">
      <alignment horizontal="center" vertical="center"/>
    </xf>
    <xf numFmtId="0" fontId="3" fillId="36" borderId="0" xfId="0" applyFont="1" applyFill="1" applyAlignment="1">
      <alignment horizontal="center" vertical="center"/>
    </xf>
    <xf numFmtId="0" fontId="3" fillId="36" borderId="9" xfId="0" applyFont="1" applyFill="1" applyBorder="1" applyAlignment="1">
      <alignment horizontal="center" vertical="center"/>
    </xf>
    <xf numFmtId="0" fontId="3" fillId="36" borderId="10" xfId="0" applyFont="1" applyFill="1" applyBorder="1" applyAlignment="1">
      <alignment horizontal="center" vertical="center"/>
    </xf>
    <xf numFmtId="14" fontId="3" fillId="36" borderId="0" xfId="0" applyNumberFormat="1" applyFont="1" applyFill="1" applyAlignment="1">
      <alignment horizontal="center" vertical="center"/>
    </xf>
    <xf numFmtId="0" fontId="7" fillId="36" borderId="0" xfId="0" applyFont="1" applyFill="1" applyAlignment="1">
      <alignment horizontal="center" vertical="center"/>
    </xf>
    <xf numFmtId="164" fontId="3" fillId="36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" fillId="36" borderId="5" xfId="0" applyFont="1" applyFill="1" applyBorder="1" applyAlignment="1">
      <alignment horizontal="center" vertical="center"/>
    </xf>
    <xf numFmtId="0" fontId="3" fillId="36" borderId="6" xfId="0" applyFont="1" applyFill="1" applyBorder="1" applyAlignment="1">
      <alignment horizontal="center" vertical="center"/>
    </xf>
    <xf numFmtId="0" fontId="2" fillId="36" borderId="0" xfId="0" applyFont="1" applyFill="1" applyAlignment="1">
      <alignment horizontal="center" vertical="center"/>
    </xf>
    <xf numFmtId="0" fontId="26" fillId="36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0" fontId="27" fillId="3" borderId="5" xfId="0" applyFont="1" applyFill="1" applyBorder="1" applyAlignment="1">
      <alignment horizontal="center" vertical="center"/>
    </xf>
    <xf numFmtId="0" fontId="27" fillId="3" borderId="6" xfId="0" applyFont="1" applyFill="1" applyBorder="1" applyAlignment="1">
      <alignment horizontal="center" vertical="center"/>
    </xf>
    <xf numFmtId="14" fontId="27" fillId="0" borderId="0" xfId="0" applyNumberFormat="1" applyFont="1" applyAlignment="1">
      <alignment horizontal="center" vertical="center"/>
    </xf>
    <xf numFmtId="0" fontId="28" fillId="4" borderId="0" xfId="0" applyFont="1" applyFill="1" applyAlignment="1">
      <alignment horizontal="center" vertical="center"/>
    </xf>
    <xf numFmtId="164" fontId="27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0" fillId="37" borderId="0" xfId="0" applyFont="1" applyFill="1" applyAlignment="1">
      <alignment horizontal="center" vertical="center"/>
    </xf>
    <xf numFmtId="0" fontId="3" fillId="36" borderId="7" xfId="0" applyFont="1" applyFill="1" applyBorder="1" applyAlignment="1">
      <alignment horizontal="center" vertical="center"/>
    </xf>
    <xf numFmtId="0" fontId="3" fillId="36" borderId="12" xfId="0" applyFont="1" applyFill="1" applyBorder="1" applyAlignment="1">
      <alignment horizontal="center" vertical="center"/>
    </xf>
    <xf numFmtId="0" fontId="29" fillId="36" borderId="0" xfId="0" applyFont="1" applyFill="1" applyAlignment="1">
      <alignment horizontal="center" vertical="center"/>
    </xf>
    <xf numFmtId="0" fontId="3" fillId="36" borderId="11" xfId="0" applyFont="1" applyFill="1" applyBorder="1" applyAlignment="1">
      <alignment horizontal="center" vertical="center"/>
    </xf>
    <xf numFmtId="0" fontId="25" fillId="0" borderId="0" xfId="0" applyFont="1"/>
    <xf numFmtId="0" fontId="3" fillId="3" borderId="2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36" borderId="2" xfId="0" applyFont="1" applyFill="1" applyBorder="1" applyAlignment="1">
      <alignment horizontal="center" vertical="center"/>
    </xf>
    <xf numFmtId="164" fontId="3" fillId="36" borderId="0" xfId="46" applyNumberFormat="1" applyFont="1" applyFill="1" applyAlignment="1">
      <alignment horizontal="center" vertical="center"/>
    </xf>
    <xf numFmtId="16" fontId="29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4" fontId="31" fillId="0" borderId="0" xfId="0" applyNumberFormat="1" applyFont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</cellXfs>
  <cellStyles count="47">
    <cellStyle name="20 % - Akzent1" xfId="1" xr:uid="{D4C522EF-B041-48F4-94C5-26F363498A87}"/>
    <cellStyle name="20 % - Akzent2" xfId="2" xr:uid="{2CC4EF54-7127-4B59-A31E-CCAEFF876A8A}"/>
    <cellStyle name="20 % - Akzent3" xfId="3" xr:uid="{18887EB0-9236-4D3D-AA77-54B498ABD9DA}"/>
    <cellStyle name="20 % - Akzent4" xfId="4" xr:uid="{E7A2DE89-3AAB-4CF6-ADD9-4AB1A4179DEB}"/>
    <cellStyle name="20 % - Akzent5" xfId="5" xr:uid="{F05AB96B-BC86-4981-8657-AFD1EF66CA6D}"/>
    <cellStyle name="20 % - Akzent6" xfId="6" xr:uid="{78262F72-EE36-44AD-8CBB-2A7EB50E1B7B}"/>
    <cellStyle name="40 % - Akzent1" xfId="7" xr:uid="{AB8C9FAF-5108-48F5-9E13-192660216A66}"/>
    <cellStyle name="40 % - Akzent2" xfId="8" xr:uid="{0ACF4093-C5C7-4A3B-B9C0-AC56AAB4C878}"/>
    <cellStyle name="40 % - Akzent3" xfId="9" xr:uid="{5B712396-6B26-46A9-B0A8-7CD0ECDE4877}"/>
    <cellStyle name="40 % - Akzent4" xfId="10" xr:uid="{7F20F16B-81B1-430A-BFF2-58E3698C3FD6}"/>
    <cellStyle name="40 % - Akzent5" xfId="11" xr:uid="{293F630C-1D7A-4846-8BDE-777993FD9AD8}"/>
    <cellStyle name="40 % - Akzent6" xfId="12" xr:uid="{4E214CCD-6466-4C7E-87AE-0A772652891B}"/>
    <cellStyle name="60 % - Akzent1" xfId="13" xr:uid="{62AA1744-9FDE-4976-9C26-9271E14C07E1}"/>
    <cellStyle name="60 % - Akzent2" xfId="14" xr:uid="{E9CF8113-6C7A-4331-BE28-50C614D679A4}"/>
    <cellStyle name="60 % - Akzent3" xfId="15" xr:uid="{162537B4-E0C4-4160-A6D2-AD2C885B52B0}"/>
    <cellStyle name="60 % - Akzent4" xfId="16" xr:uid="{C3EE5D67-6595-474D-9DB5-9D08F865EF8B}"/>
    <cellStyle name="60 % - Akzent5" xfId="17" xr:uid="{EBBFE304-8A50-4E36-B015-62ADD6D941C8}"/>
    <cellStyle name="60 % - Akzent6" xfId="18" xr:uid="{61292696-352E-4BDD-A742-970D0EA355E2}"/>
    <cellStyle name="Akzent1" xfId="19" xr:uid="{DD8C0C1B-CA77-451E-A240-453B33A81736}"/>
    <cellStyle name="Akzent2" xfId="20" xr:uid="{D4FD54F0-B6EF-4CEE-AFF8-7D4363D74217}"/>
    <cellStyle name="Akzent3" xfId="21" xr:uid="{F7512138-ABE6-454F-ADA7-7CDDAD3C1FCC}"/>
    <cellStyle name="Akzent4" xfId="22" xr:uid="{4A018393-425F-408C-9E49-B28D72ACA454}"/>
    <cellStyle name="Akzent5" xfId="23" xr:uid="{59EABAB4-B30F-4160-BBBB-EE7B6A5BCB1F}"/>
    <cellStyle name="Akzent6" xfId="24" xr:uid="{97D423D9-EEF3-4EDF-BFF8-3F8818A9F4F3}"/>
    <cellStyle name="Ausgabe" xfId="25" xr:uid="{143BA43C-3D56-4534-9513-9EED24B7F3E5}"/>
    <cellStyle name="Berechnung" xfId="26" xr:uid="{D9B90889-CA8D-4055-A22A-B5B08FA4380D}"/>
    <cellStyle name="Currency" xfId="46" builtinId="4"/>
    <cellStyle name="Eingabe" xfId="27" xr:uid="{D3D4A6F8-0665-4178-804F-A3A4353DBA80}"/>
    <cellStyle name="Ergebnis" xfId="28" xr:uid="{B5E7DEEF-0D3D-486F-8A5F-38C542EAE3A8}"/>
    <cellStyle name="Erklärender Text" xfId="29" xr:uid="{2CECEC8E-927B-46A4-A401-22FCF43A0DD6}"/>
    <cellStyle name="Gut" xfId="30" xr:uid="{DEA565A8-F941-4AF8-9270-5E9B2F0D9357}"/>
    <cellStyle name="Normal" xfId="0" builtinId="0"/>
    <cellStyle name="Normal 2" xfId="41" xr:uid="{40AF0611-4A0C-4A38-9CB2-A24A23D814D6}"/>
    <cellStyle name="Normal 3" xfId="42" xr:uid="{350B34E4-CEC6-4325-83AF-3115F7B23354}"/>
    <cellStyle name="Normal 3 2" xfId="45" xr:uid="{14862309-8119-4F5F-8E86-541D2C23D6DF}"/>
    <cellStyle name="Normal 3 3" xfId="44" xr:uid="{80D66A25-9456-46F3-AF2E-6F4A212E0529}"/>
    <cellStyle name="Normal 4" xfId="43" xr:uid="{7627A25B-3EF0-4966-8ED4-99A99A02D5F9}"/>
    <cellStyle name="Notiz" xfId="31" xr:uid="{74CE94BB-A2F6-4AC0-9581-AB6FBA60766D}"/>
    <cellStyle name="Schlecht" xfId="32" xr:uid="{95EB9011-762F-4C0C-99EA-FED70E05B5C3}"/>
    <cellStyle name="Überschrift" xfId="33" xr:uid="{2552D12F-5799-42A0-B9E7-D1D78D33D6DE}"/>
    <cellStyle name="Überschrift 1" xfId="34" xr:uid="{C6514992-7B9B-4CDA-8D16-1062500D521E}"/>
    <cellStyle name="Überschrift 2" xfId="35" xr:uid="{F65E7D6A-0194-4D98-8EBE-6935488F9F9A}"/>
    <cellStyle name="Überschrift 3" xfId="36" xr:uid="{4C30EABB-4499-42D6-A264-D4DA3A8584C1}"/>
    <cellStyle name="Überschrift 4" xfId="37" xr:uid="{2B185D29-08B0-41B5-8D41-0BC17AE8DEE3}"/>
    <cellStyle name="Verknüpfte Zelle" xfId="38" xr:uid="{F57E7314-DCE1-4481-A1A7-7534CC43DA11}"/>
    <cellStyle name="Warnender Text" xfId="39" xr:uid="{E5F3B9BB-3045-411C-A052-D83B96B8AABA}"/>
    <cellStyle name="Zelle überprüfen" xfId="40" xr:uid="{B0C32F44-113C-42B2-A2C2-7FC670C7AFAA}"/>
  </cellStyles>
  <dxfs count="9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theme="2" tint="-0.49998474074526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2" defaultTableStyle="TableStyleMedium2" defaultPivotStyle="PivotStyleLight16">
    <tableStyle name="Invisible" pivot="0" table="0" count="0" xr9:uid="{0B84018E-A563-47E9-A338-6E51FB5E46DE}"/>
    <tableStyle name="Table Style 1" pivot="0" count="3" xr9:uid="{445B6706-7853-49B5-9FE9-678D76C9F3C4}">
      <tableStyleElement type="wholeTable" dxfId="96"/>
      <tableStyleElement type="headerRow" dxfId="95"/>
      <tableStyleElement type="totalRow" dxfId="94"/>
    </tableStyle>
  </tableStyles>
  <colors>
    <mruColors>
      <color rgb="FFFFE7FF"/>
      <color rgb="FFFFCCFF"/>
      <color rgb="FFCCCCFF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183842-E369-4A9B-860B-4AF016F51E6A}" name="OHMeter" displayName="OHMeter" ref="A1:R201" totalsRowShown="0" headerRowDxfId="93" dataDxfId="92">
  <autoFilter ref="A1:R201" xr:uid="{01EA5774-F722-41A3-8884-70821E12852D}"/>
  <tableColumns count="18">
    <tableColumn id="1" xr3:uid="{8A10C39D-A169-4884-89C7-3F12D7E02363}" name="Key" dataDxfId="91"/>
    <tableColumn id="17" xr3:uid="{F3D555E5-3AF0-4C71-98E8-8B770F9FFF73}" name="OpCo2" dataDxfId="90"/>
    <tableColumn id="2" xr3:uid="{1C3F736C-EF4B-4771-ADD5-F3E582633A0D}" name="Status" dataDxfId="89"/>
    <tableColumn id="3" xr3:uid="{80F70714-E290-43DB-94CF-26B74DE6ACFB}" name="MFR" dataDxfId="88"/>
    <tableColumn id="4" xr3:uid="{D1E1244C-2FA5-4ED5-BE15-726C6AC51D4A}" name="Dev Code" dataDxfId="87"/>
    <tableColumn id="5" xr3:uid="{4560D652-DE40-4BCC-AD8F-30E08994C160}" name="Beg Ser" dataDxfId="86"/>
    <tableColumn id="6" xr3:uid="{97B7CB72-636B-4018-950A-82CAF3B60DB0}" name="End Ser" dataDxfId="85"/>
    <tableColumn id="7" xr3:uid="{443F04D9-BDF4-4665-8494-CB6BF63193CC}" name="Qty" dataDxfId="84"/>
    <tableColumn id="8" xr3:uid="{3832A2B2-4386-4C00-ABE7-8A38ED6B008E}" name="PO Date" dataDxfId="83"/>
    <tableColumn id="18" xr3:uid="{CD65039D-C792-4319-B7F3-1C38AEBED3F9}" name="Column1" dataDxfId="0"/>
    <tableColumn id="9" xr3:uid="{7AE57069-0673-4F61-A352-24C69D29667C}" name="PO Number" dataDxfId="82"/>
    <tableColumn id="10" xr3:uid="{54876EDB-7D17-4E2E-8132-B1ED90E12DF7}" name="Recv Date" dataDxfId="81"/>
    <tableColumn id="11" xr3:uid="{2CCBF92A-5675-41A5-B16B-71C2C449287F}" name="Unit Cost" dataDxfId="80"/>
    <tableColumn id="12" xr3:uid="{D5955226-1CEA-424E-B95A-2F9FAD642974}" name="CID" dataDxfId="79"/>
    <tableColumn id="13" xr3:uid="{8EDB45F5-C363-423B-90F8-2539C8AED165}" name="M.E. #" dataDxfId="78"/>
    <tableColumn id="14" xr3:uid="{F7E0ABF5-68C5-4C74-A9AE-0634FA5E21FA}" name="Pur. Code" dataDxfId="77"/>
    <tableColumn id="15" xr3:uid="{6DBBBB6F-3ABD-40EA-BB96-2305D997095F}" name="Est." dataDxfId="76"/>
    <tableColumn id="16" xr3:uid="{3E780122-EEB6-4E03-A3B6-305609AA86A8}" name="Comments" dataDxfId="75"/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59FC100-DFC5-4007-AB80-B003C3C2BCDB}" name="IMMeter" displayName="IMMeter" ref="A1:R242" totalsRowShown="0" headerRowDxfId="74" dataDxfId="73">
  <autoFilter ref="A1:R242" xr:uid="{01EA5774-F722-41A3-8884-70821E12852D}"/>
  <tableColumns count="18">
    <tableColumn id="1" xr3:uid="{4D45749D-7F15-4855-94C7-E42A79473CFC}" name="Key" dataDxfId="72"/>
    <tableColumn id="16" xr3:uid="{33AC9A57-D080-41E7-A739-4D0433D5BFC2}" name="OpCo2" dataDxfId="71"/>
    <tableColumn id="2" xr3:uid="{9F9523A7-6947-4BFE-B672-7C8D86AECFCF}" name="Status" dataDxfId="70"/>
    <tableColumn id="3" xr3:uid="{70B202FF-ECED-4C70-B154-A9FA97B1685F}" name="MFR" dataDxfId="69"/>
    <tableColumn id="4" xr3:uid="{72AE91E0-25B7-4C52-96EC-936035564131}" name="Dev Code" dataDxfId="68"/>
    <tableColumn id="5" xr3:uid="{8BE5B6D8-D946-4E95-BC36-A6570C734E7E}" name="Beg Ser" dataDxfId="67"/>
    <tableColumn id="6" xr3:uid="{20EC6E6C-2B6E-4B2E-BF71-5A33DB21A872}" name="End Ser" dataDxfId="66"/>
    <tableColumn id="7" xr3:uid="{8493B061-003E-44DF-AB91-83E4BA41E0FC}" name="Qty" dataDxfId="65">
      <calculatedColumnFormula>IF(AND(ISBLANK(IMMeter[[#This Row],[Beg Ser]]),ISBLANK(IMMeter[[#This Row],[End Ser]])),"",IMMeter[[#This Row],[End Ser]]-IMMeter[[#This Row],[Beg Ser]]+1)</calculatedColumnFormula>
    </tableColumn>
    <tableColumn id="8" xr3:uid="{66BCD43D-D2D8-416A-AAA3-B77754A9506A}" name="PO Date" dataDxfId="64"/>
    <tableColumn id="18" xr3:uid="{2C2E43C9-3EA1-412B-89CA-3E49DA690DDC}" name="Vintage" dataDxfId="18"/>
    <tableColumn id="9" xr3:uid="{4388DD14-580C-4088-AE32-AB52B6466E88}" name="PO Number" dataDxfId="63"/>
    <tableColumn id="10" xr3:uid="{6E277F24-2655-484A-A15C-A3291579BB99}" name="Recv Date" dataDxfId="62"/>
    <tableColumn id="11" xr3:uid="{A848BC37-F859-477A-80BB-A81704B4B9BF}" name="Unit Cost" dataDxfId="61"/>
    <tableColumn id="12" xr3:uid="{EE73F7EA-5565-42E2-BBAA-F95782CD040C}" name="CID" dataDxfId="60"/>
    <tableColumn id="13" xr3:uid="{FA5A13D1-B725-479E-BAFE-FF5ADBDD4DAB}" name="M.E. #" dataDxfId="59"/>
    <tableColumn id="14" xr3:uid="{1F477AB9-0D03-4121-AC9C-7DE3DD0BBD87}" name="Pur. Code" dataDxfId="58"/>
    <tableColumn id="15" xr3:uid="{8A69AB05-4393-4A7A-84D9-4C24FFEF2122}" name="Est." dataDxfId="57"/>
    <tableColumn id="17" xr3:uid="{3C7A3C7B-558D-432E-A08C-63A60E5D9824}" name="Comments" dataDxfId="56"/>
  </tableColumns>
  <tableStyleInfo name="Table Style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F494888-11C3-4EA1-BFE2-41B1E5A2FF4B}" name="OHTrans" displayName="OHTrans" ref="A1:Q126" totalsRowShown="0" headerRowDxfId="55">
  <autoFilter ref="A1:Q126" xr:uid="{01EA5774-F722-41A3-8884-70821E12852D}"/>
  <tableColumns count="17">
    <tableColumn id="1" xr3:uid="{BFB64277-544E-4C60-8C71-12BEA271459E}" name="Key" dataDxfId="54"/>
    <tableColumn id="16" xr3:uid="{8E20D6F1-39C3-4DBE-93A1-AAC38FC29974}" name="OpCo2" dataDxfId="53"/>
    <tableColumn id="2" xr3:uid="{509EE7D5-8339-4A13-A502-67757978B30D}" name="Status" dataDxfId="52"/>
    <tableColumn id="3" xr3:uid="{64056060-F103-4949-918A-21BC16236BA2}" name="MFR" dataDxfId="51"/>
    <tableColumn id="4" xr3:uid="{EACE1357-4934-467A-BEB7-35D7D2776E10}" name="Dev Code" dataDxfId="50"/>
    <tableColumn id="5" xr3:uid="{2DCACE47-555E-4D89-8233-23CEDBAB14B0}" name="Beg Ser" dataDxfId="49"/>
    <tableColumn id="6" xr3:uid="{4A5B8571-773C-4F92-8083-659EE6D6E212}" name="End Ser" dataDxfId="48"/>
    <tableColumn id="7" xr3:uid="{231EE51B-3684-468C-B570-DF6EBEEF73CB}" name="Qty" dataDxfId="47"/>
    <tableColumn id="8" xr3:uid="{A976D736-1D43-445F-83C5-76DC6334059B}" name="PO Date" dataDxfId="46"/>
    <tableColumn id="17" xr3:uid="{36747F21-AD7D-4B8E-B47E-3EB1886D73EC}" name="Vintage" dataDxfId="19"/>
    <tableColumn id="9" xr3:uid="{AB8E3035-74C2-470B-AFAA-249F6A54B915}" name="PO Number" dataDxfId="45"/>
    <tableColumn id="10" xr3:uid="{B84D2814-E09A-410C-88F0-698A492362C7}" name="Recv Date" dataDxfId="44"/>
    <tableColumn id="11" xr3:uid="{1A715449-C377-4764-84D2-2B34F3636D9B}" name="Unit Cost" dataDxfId="43"/>
    <tableColumn id="12" xr3:uid="{B6DD5F48-1C04-4BFA-9733-04C2E70474C4}" name="CID" dataDxfId="42"/>
    <tableColumn id="13" xr3:uid="{62DF0CF3-8BBE-42C5-A505-684B55774ADA}" name="M.E. #" dataDxfId="41"/>
    <tableColumn id="14" xr3:uid="{0EE2B0BA-F958-435D-9C5A-99C82FFCFF32}" name="Pur. Code" dataDxfId="40"/>
    <tableColumn id="15" xr3:uid="{3FEC75D0-E487-4489-A0A2-DA2B65797D78}" name="Comments" dataDxfId="39"/>
  </tableColumns>
  <tableStyleInfo name="Table Style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EA5774-F722-41A3-8884-70821E12852D}" name="IMTrans" displayName="IMTrans" ref="A1:R55" totalsRowShown="0" dataDxfId="38">
  <autoFilter ref="A1:R55" xr:uid="{01EA5774-F722-41A3-8884-70821E12852D}"/>
  <tableColumns count="18">
    <tableColumn id="1" xr3:uid="{59CD9D4C-A630-4CB5-9077-1CD46B33D7C3}" name="Key" dataDxfId="37"/>
    <tableColumn id="16" xr3:uid="{F9DDB313-07D1-473C-B410-FD52EAA1F002}" name="OpCo2" dataDxfId="36"/>
    <tableColumn id="2" xr3:uid="{E28A1EE9-982E-4106-86A6-A5C8276FEF28}" name="Status" dataDxfId="35"/>
    <tableColumn id="3" xr3:uid="{56DC30EF-6C72-4ACB-A356-73EAB0680E4E}" name="MFR" dataDxfId="34"/>
    <tableColumn id="4" xr3:uid="{4F4456D4-AB2A-41ED-9DFA-87069F5BAE5D}" name="Dev Code" dataDxfId="33"/>
    <tableColumn id="5" xr3:uid="{F0BC4F03-EDA1-4377-AC1E-ADB32C14CC8B}" name="Beg Ser" dataDxfId="32"/>
    <tableColumn id="6" xr3:uid="{1FBA61A6-401B-4335-8078-91C187514BD4}" name="End Ser" dataDxfId="31"/>
    <tableColumn id="7" xr3:uid="{3B0F848E-81E9-44A4-B4E7-D30244A69DA3}" name="Qty" dataDxfId="30"/>
    <tableColumn id="8" xr3:uid="{F4E89F7B-1615-4D1D-BBBE-8C163B1846BE}" name="PO Date" dataDxfId="29"/>
    <tableColumn id="19" xr3:uid="{1DD6C95C-A411-419A-9EAD-C99D937FFA42}" name="Vintage" dataDxfId="20"/>
    <tableColumn id="9" xr3:uid="{A63AF4B0-9563-44DC-84B6-AD3DCEA953A0}" name="PO Number" dataDxfId="28"/>
    <tableColumn id="10" xr3:uid="{3A71C16E-3C66-4B23-8777-9A35B158ECCF}" name="Recv Date" dataDxfId="27"/>
    <tableColumn id="11" xr3:uid="{C467F29B-7A75-473A-88A0-6866B6257601}" name="Unit Cost" dataDxfId="26"/>
    <tableColumn id="12" xr3:uid="{2D84DC10-E2C4-4FE1-8212-88ACE13106C8}" name="CID" dataDxfId="25"/>
    <tableColumn id="13" xr3:uid="{1DEAA16C-9308-4A54-A166-F614FDB37105}" name="M.E. #" dataDxfId="24"/>
    <tableColumn id="14" xr3:uid="{4806A242-EB44-4F0D-AC3D-903A0FBDAD2A}" name="Pur. Code" dataDxfId="23"/>
    <tableColumn id="15" xr3:uid="{DD90F96B-056A-47FD-A4DA-783245524121}" name="Est." dataDxfId="22"/>
    <tableColumn id="17" xr3:uid="{C39C14E1-B137-4679-A848-4FB34C48CFD7}" name="Comments" dataDxfId="21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A2D21-FC05-405A-BBFE-A9DD9C6AADE2}">
  <sheetPr codeName="Sheet2">
    <tabColor rgb="FFC00000"/>
  </sheetPr>
  <dimension ref="A1:W201"/>
  <sheetViews>
    <sheetView tabSelected="1" zoomScaleNormal="100" workbookViewId="0">
      <selection activeCell="J3" sqref="J3"/>
    </sheetView>
  </sheetViews>
  <sheetFormatPr defaultRowHeight="14.4" x14ac:dyDescent="0.3"/>
  <cols>
    <col min="1" max="1" width="5.6640625" style="1" customWidth="1"/>
    <col min="2" max="2" width="9.109375" style="1"/>
    <col min="3" max="3" width="9.33203125" style="2" customWidth="1"/>
    <col min="4" max="4" width="7.6640625" style="2" customWidth="1"/>
    <col min="5" max="5" width="12.33203125" style="1" customWidth="1"/>
    <col min="6" max="7" width="16.6640625" style="1" customWidth="1"/>
    <col min="8" max="8" width="10.6640625" style="1" customWidth="1"/>
    <col min="9" max="10" width="12.6640625" style="14" customWidth="1"/>
    <col min="11" max="11" width="14.5546875" style="15" customWidth="1"/>
    <col min="12" max="12" width="12" style="14" customWidth="1"/>
    <col min="13" max="13" width="12.6640625" style="12" customWidth="1"/>
    <col min="14" max="14" width="14.6640625" style="2" customWidth="1"/>
    <col min="15" max="15" width="10.6640625" style="1" customWidth="1"/>
    <col min="16" max="16" width="12.5546875" style="15" customWidth="1"/>
  </cols>
  <sheetData>
    <row r="1" spans="1:21" ht="18" x14ac:dyDescent="0.3">
      <c r="A1" s="8" t="s">
        <v>174</v>
      </c>
      <c r="B1" s="8" t="s">
        <v>173</v>
      </c>
      <c r="C1" s="9" t="s">
        <v>15</v>
      </c>
      <c r="D1" s="9" t="s">
        <v>14</v>
      </c>
      <c r="E1" s="8" t="s">
        <v>13</v>
      </c>
      <c r="F1" s="16" t="s">
        <v>12</v>
      </c>
      <c r="G1" s="17" t="s">
        <v>11</v>
      </c>
      <c r="H1" s="8" t="s">
        <v>10</v>
      </c>
      <c r="I1" s="13" t="s">
        <v>9</v>
      </c>
      <c r="J1" s="13" t="s">
        <v>25</v>
      </c>
      <c r="K1" s="8" t="s">
        <v>8</v>
      </c>
      <c r="L1" s="13" t="s">
        <v>7</v>
      </c>
      <c r="M1" s="10" t="s">
        <v>6</v>
      </c>
      <c r="N1" s="9" t="s">
        <v>5</v>
      </c>
      <c r="O1" s="8" t="s">
        <v>4</v>
      </c>
      <c r="P1" s="8" t="s">
        <v>3</v>
      </c>
      <c r="Q1" s="8" t="s">
        <v>69</v>
      </c>
      <c r="R1" s="8" t="s">
        <v>213</v>
      </c>
      <c r="T1" s="3"/>
      <c r="U1" s="3"/>
    </row>
    <row r="2" spans="1:21" ht="15.6" x14ac:dyDescent="0.3">
      <c r="A2" s="5">
        <f>IF(ISBLANK(OHMeter[[#This Row],[OpCo2]]),"",COUNTA(OHMeter[[#This Row],[OpCo2]])-(COUNTA(OHMeter[[#This Row],[OpCo2]])-ROW(OHMeter[[#This Row],[OpCo2]])+1))</f>
        <v>1</v>
      </c>
      <c r="B2" s="5" t="s">
        <v>17</v>
      </c>
      <c r="C2" s="6" t="s">
        <v>2</v>
      </c>
      <c r="D2" s="6" t="s">
        <v>1</v>
      </c>
      <c r="E2" s="5" t="s">
        <v>0</v>
      </c>
      <c r="F2" s="18">
        <v>697691658</v>
      </c>
      <c r="G2" s="19">
        <v>697691753</v>
      </c>
      <c r="H2" s="4">
        <f>IF(AND(ISBLANK(OHMeter[[#This Row],[Beg Ser]]),ISBLANK(OHMeter[[#This Row],[End Ser]])),"",OHMeter[[#This Row],[End Ser]]-OHMeter[[#This Row],[Beg Ser]]+1)</f>
        <v>96</v>
      </c>
      <c r="I2" s="7">
        <v>44383</v>
      </c>
      <c r="J2" s="7" t="s">
        <v>214</v>
      </c>
      <c r="K2" s="22">
        <v>80370760</v>
      </c>
      <c r="L2" s="7">
        <v>45055</v>
      </c>
      <c r="M2" s="11">
        <v>188.33</v>
      </c>
      <c r="N2" s="6">
        <v>9900114973</v>
      </c>
      <c r="O2" s="5">
        <v>90114973</v>
      </c>
      <c r="P2" s="29" t="s">
        <v>0</v>
      </c>
      <c r="Q2" s="4">
        <f>IF(ISBLANK(OHMeter[[#This Row],[PO Number]]),"",IF(ISBLANK(OHMeter[[#This Row],[Recv Date]]),0,1))</f>
        <v>1</v>
      </c>
      <c r="R2" s="41"/>
      <c r="T2" s="3"/>
      <c r="U2" s="3"/>
    </row>
    <row r="3" spans="1:21" ht="15.6" x14ac:dyDescent="0.3">
      <c r="A3" s="5">
        <f>IF(ISBLANK(OHMeter[[#This Row],[OpCo2]]),"",COUNTA(OHMeter[[#This Row],[OpCo2]])-(COUNTA(OHMeter[[#This Row],[OpCo2]])-ROW(OHMeter[[#This Row],[OpCo2]])+1))</f>
        <v>2</v>
      </c>
      <c r="B3" s="5" t="s">
        <v>17</v>
      </c>
      <c r="C3" s="6" t="s">
        <v>2</v>
      </c>
      <c r="D3" s="6" t="s">
        <v>1</v>
      </c>
      <c r="E3" s="5" t="s">
        <v>65</v>
      </c>
      <c r="F3" s="18">
        <v>999702714</v>
      </c>
      <c r="G3" s="19">
        <v>999702763</v>
      </c>
      <c r="H3" s="4">
        <f>IF(AND(ISBLANK(OHMeter[[#This Row],[Beg Ser]]),ISBLANK(OHMeter[[#This Row],[End Ser]])),"",OHMeter[[#This Row],[End Ser]]-OHMeter[[#This Row],[Beg Ser]]+1)</f>
        <v>50</v>
      </c>
      <c r="I3" s="7">
        <v>44534</v>
      </c>
      <c r="J3" s="7"/>
      <c r="K3" s="22">
        <v>80447076</v>
      </c>
      <c r="L3" s="7">
        <v>45083</v>
      </c>
      <c r="M3" s="11">
        <v>392.11</v>
      </c>
      <c r="N3" s="6" t="s">
        <v>66</v>
      </c>
      <c r="O3" s="5">
        <v>71058285</v>
      </c>
      <c r="P3" s="29" t="s">
        <v>65</v>
      </c>
      <c r="Q3" s="4">
        <f>IF(ISBLANK(OHMeter[[#This Row],[PO Number]]),"",IF(ISBLANK(OHMeter[[#This Row],[Recv Date]]),0,1))</f>
        <v>1</v>
      </c>
      <c r="R3" s="41"/>
      <c r="T3" s="3"/>
      <c r="U3" s="3"/>
    </row>
    <row r="4" spans="1:21" ht="15.6" x14ac:dyDescent="0.3">
      <c r="A4" s="5">
        <f>IF(ISBLANK(OHMeter[[#This Row],[OpCo2]]),"",COUNTA(OHMeter[[#This Row],[OpCo2]])-(COUNTA(OHMeter[[#This Row],[OpCo2]])-ROW(OHMeter[[#This Row],[OpCo2]])+1))</f>
        <v>3</v>
      </c>
      <c r="B4" s="5" t="s">
        <v>17</v>
      </c>
      <c r="C4" s="6" t="s">
        <v>2</v>
      </c>
      <c r="D4" s="6" t="s">
        <v>1</v>
      </c>
      <c r="E4" s="5" t="s">
        <v>71</v>
      </c>
      <c r="F4" s="23">
        <v>999171124</v>
      </c>
      <c r="G4" s="24">
        <v>999171363</v>
      </c>
      <c r="H4" s="4">
        <f>IF(AND(ISBLANK(OHMeter[[#This Row],[Beg Ser]]),ISBLANK(OHMeter[[#This Row],[End Ser]])),"",OHMeter[[#This Row],[End Ser]]-OHMeter[[#This Row],[Beg Ser]]+1)</f>
        <v>240</v>
      </c>
      <c r="I4" s="7">
        <v>44420</v>
      </c>
      <c r="J4" s="7"/>
      <c r="K4" s="22">
        <v>80388799</v>
      </c>
      <c r="L4" s="7">
        <v>45119</v>
      </c>
      <c r="M4" s="11">
        <v>156.01</v>
      </c>
      <c r="N4" s="6" t="s">
        <v>72</v>
      </c>
      <c r="O4" s="5">
        <v>99038747</v>
      </c>
      <c r="P4" s="27" t="s">
        <v>71</v>
      </c>
      <c r="Q4" s="4">
        <f>IF(ISBLANK(OHMeter[[#This Row],[PO Number]]),"",IF(ISBLANK(OHMeter[[#This Row],[Recv Date]]),0,1))</f>
        <v>1</v>
      </c>
      <c r="R4" s="41"/>
      <c r="T4" s="3"/>
      <c r="U4" s="3"/>
    </row>
    <row r="5" spans="1:21" ht="15.6" x14ac:dyDescent="0.3">
      <c r="A5" s="5">
        <f>IF(ISBLANK(OHMeter[[#This Row],[OpCo2]]),"",COUNTA(OHMeter[[#This Row],[OpCo2]])-(COUNTA(OHMeter[[#This Row],[OpCo2]])-ROW(OHMeter[[#This Row],[OpCo2]])+1))</f>
        <v>4</v>
      </c>
      <c r="B5" s="5" t="s">
        <v>17</v>
      </c>
      <c r="C5" s="6" t="s">
        <v>2</v>
      </c>
      <c r="D5" s="6" t="s">
        <v>1</v>
      </c>
      <c r="E5" s="5" t="s">
        <v>62</v>
      </c>
      <c r="F5" s="23">
        <v>910942608</v>
      </c>
      <c r="G5" s="24">
        <v>910942611</v>
      </c>
      <c r="H5" s="4">
        <f>IF(AND(ISBLANK(OHMeter[[#This Row],[Beg Ser]]),ISBLANK(OHMeter[[#This Row],[End Ser]])),"",OHMeter[[#This Row],[End Ser]]-OHMeter[[#This Row],[Beg Ser]]+1)</f>
        <v>4</v>
      </c>
      <c r="I5" s="7">
        <v>44490</v>
      </c>
      <c r="J5" s="7"/>
      <c r="K5" s="22">
        <v>80424866</v>
      </c>
      <c r="L5" s="7">
        <v>45128</v>
      </c>
      <c r="M5" s="11">
        <v>110.4</v>
      </c>
      <c r="N5" s="6" t="s">
        <v>73</v>
      </c>
      <c r="O5" s="5">
        <v>99038745</v>
      </c>
      <c r="P5" s="29" t="s">
        <v>62</v>
      </c>
      <c r="Q5" s="4">
        <f>IF(ISBLANK(OHMeter[[#This Row],[PO Number]]),"",IF(ISBLANK(OHMeter[[#This Row],[Recv Date]]),0,1))</f>
        <v>1</v>
      </c>
      <c r="R5" s="41"/>
      <c r="T5" s="3"/>
      <c r="U5" s="3"/>
    </row>
    <row r="6" spans="1:21" ht="15.6" x14ac:dyDescent="0.3">
      <c r="A6" s="5">
        <f>IF(ISBLANK(OHMeter[[#This Row],[OpCo2]]),"",COUNTA(OHMeter[[#This Row],[OpCo2]])-(COUNTA(OHMeter[[#This Row],[OpCo2]])-ROW(OHMeter[[#This Row],[OpCo2]])+1))</f>
        <v>5</v>
      </c>
      <c r="B6" s="5" t="s">
        <v>17</v>
      </c>
      <c r="C6" s="6" t="s">
        <v>2</v>
      </c>
      <c r="D6" s="6" t="s">
        <v>1</v>
      </c>
      <c r="E6" s="5" t="s">
        <v>62</v>
      </c>
      <c r="F6" s="18">
        <v>911874355</v>
      </c>
      <c r="G6" s="19">
        <v>911875554</v>
      </c>
      <c r="H6" s="4">
        <f>IF(AND(ISBLANK(OHMeter[[#This Row],[Beg Ser]]),ISBLANK(OHMeter[[#This Row],[End Ser]])),"",OHMeter[[#This Row],[End Ser]]-OHMeter[[#This Row],[Beg Ser]]+1)</f>
        <v>1200</v>
      </c>
      <c r="I6" s="7">
        <v>44518</v>
      </c>
      <c r="J6" s="7"/>
      <c r="K6" s="22">
        <v>80440340</v>
      </c>
      <c r="L6" s="7">
        <v>45174</v>
      </c>
      <c r="M6" s="11">
        <v>110.4</v>
      </c>
      <c r="N6" s="6" t="s">
        <v>73</v>
      </c>
      <c r="O6" s="5">
        <v>99038745</v>
      </c>
      <c r="P6" s="29" t="s">
        <v>62</v>
      </c>
      <c r="Q6" s="4">
        <f>IF(ISBLANK(OHMeter[[#This Row],[PO Number]]),"",IF(ISBLANK(OHMeter[[#This Row],[Recv Date]]),0,1))</f>
        <v>1</v>
      </c>
      <c r="R6" s="41"/>
      <c r="T6" s="3"/>
      <c r="U6" s="3"/>
    </row>
    <row r="7" spans="1:21" ht="15.6" x14ac:dyDescent="0.3">
      <c r="A7" s="5">
        <f>IF(ISBLANK(OHMeter[[#This Row],[OpCo2]]),"",COUNTA(OHMeter[[#This Row],[OpCo2]])-(COUNTA(OHMeter[[#This Row],[OpCo2]])-ROW(OHMeter[[#This Row],[OpCo2]])+1))</f>
        <v>6</v>
      </c>
      <c r="B7" s="5" t="s">
        <v>17</v>
      </c>
      <c r="C7" s="6" t="s">
        <v>2</v>
      </c>
      <c r="D7" s="6" t="s">
        <v>1</v>
      </c>
      <c r="E7" s="5" t="s">
        <v>62</v>
      </c>
      <c r="F7" s="18">
        <v>911871959</v>
      </c>
      <c r="G7" s="19">
        <v>911874354</v>
      </c>
      <c r="H7" s="4">
        <f>IF(AND(ISBLANK(OHMeter[[#This Row],[Beg Ser]]),ISBLANK(OHMeter[[#This Row],[End Ser]])),"",OHMeter[[#This Row],[End Ser]]-OHMeter[[#This Row],[Beg Ser]]+1)</f>
        <v>2396</v>
      </c>
      <c r="I7" s="7">
        <v>44490</v>
      </c>
      <c r="J7" s="7"/>
      <c r="K7" s="22">
        <v>80424866</v>
      </c>
      <c r="L7" s="7">
        <v>45174</v>
      </c>
      <c r="M7" s="11">
        <v>110.4</v>
      </c>
      <c r="N7" s="6" t="s">
        <v>73</v>
      </c>
      <c r="O7" s="5">
        <v>99038745</v>
      </c>
      <c r="P7" s="29" t="s">
        <v>62</v>
      </c>
      <c r="Q7" s="4">
        <f>IF(ISBLANK(OHMeter[[#This Row],[PO Number]]),"",IF(ISBLANK(OHMeter[[#This Row],[Recv Date]]),0,1))</f>
        <v>1</v>
      </c>
      <c r="R7" s="41"/>
    </row>
    <row r="8" spans="1:21" ht="15.6" x14ac:dyDescent="0.3">
      <c r="A8" s="5">
        <f>IF(ISBLANK(OHMeter[[#This Row],[OpCo2]]),"",COUNTA(OHMeter[[#This Row],[OpCo2]])-(COUNTA(OHMeter[[#This Row],[OpCo2]])-ROW(OHMeter[[#This Row],[OpCo2]])+1))</f>
        <v>7</v>
      </c>
      <c r="B8" s="5" t="s">
        <v>17</v>
      </c>
      <c r="C8" s="6" t="s">
        <v>2</v>
      </c>
      <c r="D8" s="6" t="s">
        <v>1</v>
      </c>
      <c r="E8" s="5" t="s">
        <v>85</v>
      </c>
      <c r="F8" s="18">
        <v>611866837</v>
      </c>
      <c r="G8" s="19">
        <v>611867024</v>
      </c>
      <c r="H8" s="4">
        <f>IF(AND(ISBLANK(OHMeter[[#This Row],[Beg Ser]]),ISBLANK(OHMeter[[#This Row],[End Ser]])),"",OHMeter[[#This Row],[End Ser]]-OHMeter[[#This Row],[Beg Ser]]+1)</f>
        <v>188</v>
      </c>
      <c r="I8" s="7">
        <v>44735</v>
      </c>
      <c r="J8" s="7"/>
      <c r="K8" s="22">
        <v>80923322</v>
      </c>
      <c r="L8" s="7">
        <v>45174</v>
      </c>
      <c r="M8" s="11">
        <v>208.9</v>
      </c>
      <c r="N8" s="6" t="s">
        <v>87</v>
      </c>
      <c r="O8" s="5">
        <v>99114972</v>
      </c>
      <c r="P8" s="29" t="s">
        <v>85</v>
      </c>
      <c r="Q8" s="4">
        <f>IF(ISBLANK(OHMeter[[#This Row],[PO Number]]),"",IF(ISBLANK(OHMeter[[#This Row],[Recv Date]]),0,1))</f>
        <v>1</v>
      </c>
      <c r="R8" s="41"/>
    </row>
    <row r="9" spans="1:21" ht="15.6" x14ac:dyDescent="0.3">
      <c r="A9" s="5">
        <f>IF(ISBLANK(OHMeter[[#This Row],[OpCo2]]),"",COUNTA(OHMeter[[#This Row],[OpCo2]])-(COUNTA(OHMeter[[#This Row],[OpCo2]])-ROW(OHMeter[[#This Row],[OpCo2]])+1))</f>
        <v>8</v>
      </c>
      <c r="B9" s="5" t="s">
        <v>17</v>
      </c>
      <c r="C9" s="6" t="s">
        <v>2</v>
      </c>
      <c r="D9" s="6" t="s">
        <v>1</v>
      </c>
      <c r="E9" s="5" t="s">
        <v>89</v>
      </c>
      <c r="F9" s="18">
        <v>911331992</v>
      </c>
      <c r="G9" s="19">
        <v>911332051</v>
      </c>
      <c r="H9" s="4">
        <f>IF(AND(ISBLANK(OHMeter[[#This Row],[Beg Ser]]),ISBLANK(OHMeter[[#This Row],[End Ser]])),"",OHMeter[[#This Row],[End Ser]]-OHMeter[[#This Row],[Beg Ser]]+1)</f>
        <v>60</v>
      </c>
      <c r="I9" s="7">
        <v>44735</v>
      </c>
      <c r="J9" s="7"/>
      <c r="K9" s="22">
        <v>80923322</v>
      </c>
      <c r="L9" s="7">
        <v>45174</v>
      </c>
      <c r="M9" s="11">
        <v>392.11</v>
      </c>
      <c r="N9" s="6" t="s">
        <v>88</v>
      </c>
      <c r="O9" s="5">
        <v>71058283</v>
      </c>
      <c r="P9" s="29" t="s">
        <v>89</v>
      </c>
      <c r="Q9" s="4">
        <f>IF(ISBLANK(OHMeter[[#This Row],[PO Number]]),"",IF(ISBLANK(OHMeter[[#This Row],[Recv Date]]),0,1))</f>
        <v>1</v>
      </c>
      <c r="R9" s="41"/>
    </row>
    <row r="10" spans="1:21" ht="15.6" x14ac:dyDescent="0.3">
      <c r="A10" s="5">
        <f>IF(ISBLANK(OHMeter[[#This Row],[OpCo2]]),"",COUNTA(OHMeter[[#This Row],[OpCo2]])-(COUNTA(OHMeter[[#This Row],[OpCo2]])-ROW(OHMeter[[#This Row],[OpCo2]])+1))</f>
        <v>9</v>
      </c>
      <c r="B10" s="46" t="s">
        <v>125</v>
      </c>
      <c r="C10" s="47" t="s">
        <v>2</v>
      </c>
      <c r="D10" s="47"/>
      <c r="E10" s="46" t="s">
        <v>90</v>
      </c>
      <c r="F10" s="48">
        <v>535500150</v>
      </c>
      <c r="G10" s="49">
        <v>535500389</v>
      </c>
      <c r="H10" s="4">
        <f>IF(AND(ISBLANK(OHMeter[[#This Row],[Beg Ser]]),ISBLANK(OHMeter[[#This Row],[End Ser]])),"",OHMeter[[#This Row],[End Ser]]-OHMeter[[#This Row],[Beg Ser]]+1)</f>
        <v>240</v>
      </c>
      <c r="I10" s="50"/>
      <c r="J10" s="50"/>
      <c r="K10" s="51">
        <v>80611312</v>
      </c>
      <c r="L10" s="50"/>
      <c r="M10" s="52"/>
      <c r="N10" s="47"/>
      <c r="O10" s="46"/>
      <c r="P10" s="53"/>
      <c r="Q10" s="4">
        <f>IF(ISBLANK(OHMeter[[#This Row],[PO Number]]),"",IF(ISBLANK(OHMeter[[#This Row],[Recv Date]]),0,1))</f>
        <v>0</v>
      </c>
      <c r="R10" s="41"/>
    </row>
    <row r="11" spans="1:21" ht="15.6" x14ac:dyDescent="0.3">
      <c r="A11" s="5">
        <f>IF(ISBLANK(OHMeter[[#This Row],[OpCo2]]),"",COUNTA(OHMeter[[#This Row],[OpCo2]])-(COUNTA(OHMeter[[#This Row],[OpCo2]])-ROW(OHMeter[[#This Row],[OpCo2]])+1))</f>
        <v>10</v>
      </c>
      <c r="B11" s="46" t="s">
        <v>125</v>
      </c>
      <c r="C11" s="47" t="s">
        <v>2</v>
      </c>
      <c r="D11" s="47"/>
      <c r="E11" s="46" t="s">
        <v>90</v>
      </c>
      <c r="F11" s="48">
        <v>535500898</v>
      </c>
      <c r="G11" s="49">
        <v>535501009</v>
      </c>
      <c r="H11" s="4">
        <f>IF(AND(ISBLANK(OHMeter[[#This Row],[Beg Ser]]),ISBLANK(OHMeter[[#This Row],[End Ser]])),"",OHMeter[[#This Row],[End Ser]]-OHMeter[[#This Row],[Beg Ser]]+1)</f>
        <v>112</v>
      </c>
      <c r="I11" s="50"/>
      <c r="J11" s="50"/>
      <c r="K11" s="51">
        <v>80611312</v>
      </c>
      <c r="L11" s="50"/>
      <c r="M11" s="52"/>
      <c r="N11" s="47"/>
      <c r="O11" s="46"/>
      <c r="P11" s="53"/>
      <c r="Q11" s="4">
        <f>IF(ISBLANK(OHMeter[[#This Row],[PO Number]]),"",IF(ISBLANK(OHMeter[[#This Row],[Recv Date]]),0,1))</f>
        <v>0</v>
      </c>
      <c r="R11" s="41"/>
    </row>
    <row r="12" spans="1:21" ht="15.6" x14ac:dyDescent="0.3">
      <c r="A12" s="5">
        <f>IF(ISBLANK(OHMeter[[#This Row],[OpCo2]]),"",COUNTA(OHMeter[[#This Row],[OpCo2]])-(COUNTA(OHMeter[[#This Row],[OpCo2]])-ROW(OHMeter[[#This Row],[OpCo2]])+1))</f>
        <v>11</v>
      </c>
      <c r="B12" s="5" t="s">
        <v>17</v>
      </c>
      <c r="C12" s="6" t="s">
        <v>2</v>
      </c>
      <c r="D12" s="6" t="s">
        <v>1</v>
      </c>
      <c r="E12" s="5" t="s">
        <v>62</v>
      </c>
      <c r="F12" s="18">
        <v>912110485</v>
      </c>
      <c r="G12" s="19">
        <v>912112884</v>
      </c>
      <c r="H12" s="4">
        <f>IF(AND(ISBLANK(OHMeter[[#This Row],[Beg Ser]]),ISBLANK(OHMeter[[#This Row],[End Ser]])),"",OHMeter[[#This Row],[End Ser]]-OHMeter[[#This Row],[Beg Ser]]+1)</f>
        <v>2400</v>
      </c>
      <c r="I12" s="7">
        <v>44518</v>
      </c>
      <c r="J12" s="7"/>
      <c r="K12" s="22">
        <v>80440224</v>
      </c>
      <c r="L12" s="7">
        <v>45203</v>
      </c>
      <c r="M12" s="11">
        <v>110.4</v>
      </c>
      <c r="N12" s="6" t="s">
        <v>73</v>
      </c>
      <c r="O12" s="5">
        <v>99038745</v>
      </c>
      <c r="P12" s="29" t="s">
        <v>62</v>
      </c>
      <c r="Q12" s="4">
        <f>IF(ISBLANK(OHMeter[[#This Row],[PO Number]]),"",IF(ISBLANK(OHMeter[[#This Row],[Recv Date]]),0,1))</f>
        <v>1</v>
      </c>
      <c r="R12" s="41"/>
    </row>
    <row r="13" spans="1:21" ht="15.6" x14ac:dyDescent="0.3">
      <c r="A13" s="5">
        <f>IF(ISBLANK(OHMeter[[#This Row],[OpCo2]]),"",COUNTA(OHMeter[[#This Row],[OpCo2]])-(COUNTA(OHMeter[[#This Row],[OpCo2]])-ROW(OHMeter[[#This Row],[OpCo2]])+1))</f>
        <v>12</v>
      </c>
      <c r="B13" s="5" t="s">
        <v>17</v>
      </c>
      <c r="C13" s="6" t="s">
        <v>2</v>
      </c>
      <c r="D13" s="6" t="s">
        <v>1</v>
      </c>
      <c r="E13" s="5" t="s">
        <v>0</v>
      </c>
      <c r="F13" s="18">
        <v>612099296</v>
      </c>
      <c r="G13" s="19">
        <v>612099775</v>
      </c>
      <c r="H13" s="4">
        <f>IF(AND(ISBLANK(OHMeter[[#This Row],[Beg Ser]]),ISBLANK(OHMeter[[#This Row],[End Ser]])),"",OHMeter[[#This Row],[End Ser]]-OHMeter[[#This Row],[Beg Ser]]+1)</f>
        <v>480</v>
      </c>
      <c r="I13" s="7">
        <v>44627</v>
      </c>
      <c r="J13" s="7"/>
      <c r="K13" s="22">
        <v>80553944</v>
      </c>
      <c r="L13" s="7">
        <v>45203</v>
      </c>
      <c r="M13" s="11">
        <v>208.9</v>
      </c>
      <c r="N13" s="6" t="s">
        <v>95</v>
      </c>
      <c r="O13" s="5">
        <v>99114973</v>
      </c>
      <c r="P13" s="29" t="s">
        <v>0</v>
      </c>
      <c r="Q13" s="4">
        <f>IF(ISBLANK(OHMeter[[#This Row],[PO Number]]),"",IF(ISBLANK(OHMeter[[#This Row],[Recv Date]]),0,1))</f>
        <v>1</v>
      </c>
      <c r="R13" s="41"/>
    </row>
    <row r="14" spans="1:21" ht="15.6" x14ac:dyDescent="0.3">
      <c r="A14" s="5">
        <f>IF(ISBLANK(OHMeter[[#This Row],[OpCo2]]),"",COUNTA(OHMeter[[#This Row],[OpCo2]])-(COUNTA(OHMeter[[#This Row],[OpCo2]])-ROW(OHMeter[[#This Row],[OpCo2]])+1))</f>
        <v>13</v>
      </c>
      <c r="B14" s="5" t="s">
        <v>17</v>
      </c>
      <c r="C14" s="6" t="s">
        <v>2</v>
      </c>
      <c r="D14" s="6" t="s">
        <v>1</v>
      </c>
      <c r="E14" s="5" t="s">
        <v>71</v>
      </c>
      <c r="F14" s="18">
        <v>912147476</v>
      </c>
      <c r="G14" s="19">
        <v>912147715</v>
      </c>
      <c r="H14" s="4">
        <f>IF(AND(ISBLANK(OHMeter[[#This Row],[Beg Ser]]),ISBLANK(OHMeter[[#This Row],[End Ser]])),"",OHMeter[[#This Row],[End Ser]]-OHMeter[[#This Row],[Beg Ser]]+1)</f>
        <v>240</v>
      </c>
      <c r="I14" s="7">
        <v>44518</v>
      </c>
      <c r="J14" s="7"/>
      <c r="K14" s="22">
        <v>80440340</v>
      </c>
      <c r="L14" s="7">
        <v>45203</v>
      </c>
      <c r="M14" s="11">
        <v>156.01</v>
      </c>
      <c r="N14" s="6" t="s">
        <v>72</v>
      </c>
      <c r="O14" s="5">
        <v>99038747</v>
      </c>
      <c r="P14" s="29" t="s">
        <v>71</v>
      </c>
      <c r="Q14" s="4">
        <f>IF(ISBLANK(OHMeter[[#This Row],[PO Number]]),"",IF(ISBLANK(OHMeter[[#This Row],[Recv Date]]),0,1))</f>
        <v>1</v>
      </c>
      <c r="R14" s="41"/>
    </row>
    <row r="15" spans="1:21" ht="15.6" x14ac:dyDescent="0.3">
      <c r="A15" s="5">
        <f>IF(ISBLANK(OHMeter[[#This Row],[OpCo2]]),"",COUNTA(OHMeter[[#This Row],[OpCo2]])-(COUNTA(OHMeter[[#This Row],[OpCo2]])-ROW(OHMeter[[#This Row],[OpCo2]])+1))</f>
        <v>14</v>
      </c>
      <c r="B15" s="5" t="s">
        <v>17</v>
      </c>
      <c r="C15" s="6" t="s">
        <v>2</v>
      </c>
      <c r="D15" s="6" t="s">
        <v>1</v>
      </c>
      <c r="E15" s="5" t="s">
        <v>85</v>
      </c>
      <c r="F15" s="18">
        <v>612099776</v>
      </c>
      <c r="G15" s="19">
        <v>612099967</v>
      </c>
      <c r="H15" s="4">
        <f>IF(AND(ISBLANK(OHMeter[[#This Row],[Beg Ser]]),ISBLANK(OHMeter[[#This Row],[End Ser]])),"",OHMeter[[#This Row],[End Ser]]-OHMeter[[#This Row],[Beg Ser]]+1)</f>
        <v>192</v>
      </c>
      <c r="I15" s="7">
        <v>44627</v>
      </c>
      <c r="J15" s="7"/>
      <c r="K15" s="22">
        <v>80553944</v>
      </c>
      <c r="L15" s="7">
        <v>45203</v>
      </c>
      <c r="M15" s="11">
        <v>208.9</v>
      </c>
      <c r="N15" s="6" t="s">
        <v>87</v>
      </c>
      <c r="O15" s="5">
        <v>99114972</v>
      </c>
      <c r="P15" s="29" t="s">
        <v>85</v>
      </c>
      <c r="Q15" s="4">
        <f>IF(ISBLANK(OHMeter[[#This Row],[PO Number]]),"",IF(ISBLANK(OHMeter[[#This Row],[Recv Date]]),0,1))</f>
        <v>1</v>
      </c>
      <c r="R15" s="41"/>
    </row>
    <row r="16" spans="1:21" ht="15.6" x14ac:dyDescent="0.3">
      <c r="A16" s="5">
        <f>IF(ISBLANK(OHMeter[[#This Row],[OpCo2]]),"",COUNTA(OHMeter[[#This Row],[OpCo2]])-(COUNTA(OHMeter[[#This Row],[OpCo2]])-ROW(OHMeter[[#This Row],[OpCo2]])+1))</f>
        <v>15</v>
      </c>
      <c r="B16" s="5" t="s">
        <v>17</v>
      </c>
      <c r="C16" s="6" t="s">
        <v>2</v>
      </c>
      <c r="D16" s="6" t="s">
        <v>1</v>
      </c>
      <c r="E16" s="5" t="s">
        <v>62</v>
      </c>
      <c r="F16" s="18">
        <v>912108085</v>
      </c>
      <c r="G16" s="19">
        <v>912110484</v>
      </c>
      <c r="H16" s="4">
        <f>IF(AND(ISBLANK(OHMeter[[#This Row],[Beg Ser]]),ISBLANK(OHMeter[[#This Row],[End Ser]])),"",OHMeter[[#This Row],[End Ser]]-OHMeter[[#This Row],[Beg Ser]]+1)</f>
        <v>2400</v>
      </c>
      <c r="I16" s="7">
        <v>44490</v>
      </c>
      <c r="J16" s="7"/>
      <c r="K16" s="22">
        <v>80424867</v>
      </c>
      <c r="L16" s="7">
        <v>45215</v>
      </c>
      <c r="M16" s="11">
        <v>110.4</v>
      </c>
      <c r="N16" s="6" t="s">
        <v>73</v>
      </c>
      <c r="O16" s="5">
        <v>99038745</v>
      </c>
      <c r="P16" s="29" t="s">
        <v>62</v>
      </c>
      <c r="Q16" s="4">
        <f>IF(ISBLANK(OHMeter[[#This Row],[PO Number]]),"",IF(ISBLANK(OHMeter[[#This Row],[Recv Date]]),0,1))</f>
        <v>1</v>
      </c>
      <c r="R16" s="41"/>
    </row>
    <row r="17" spans="1:18" ht="15.6" x14ac:dyDescent="0.3">
      <c r="A17" s="5">
        <f>IF(ISBLANK(OHMeter[[#This Row],[OpCo2]]),"",COUNTA(OHMeter[[#This Row],[OpCo2]])-(COUNTA(OHMeter[[#This Row],[OpCo2]])-ROW(OHMeter[[#This Row],[OpCo2]])+1))</f>
        <v>16</v>
      </c>
      <c r="B17" s="5" t="s">
        <v>17</v>
      </c>
      <c r="C17" s="6" t="s">
        <v>2</v>
      </c>
      <c r="D17" s="6" t="s">
        <v>1</v>
      </c>
      <c r="E17" s="5" t="s">
        <v>0</v>
      </c>
      <c r="F17" s="18">
        <v>612659564</v>
      </c>
      <c r="G17" s="19">
        <v>612659851</v>
      </c>
      <c r="H17" s="4">
        <f>IF(AND(ISBLANK(OHMeter[[#This Row],[Beg Ser]]),ISBLANK(OHMeter[[#This Row],[End Ser]])),"",OHMeter[[#This Row],[End Ser]]-OHMeter[[#This Row],[Beg Ser]]+1)</f>
        <v>288</v>
      </c>
      <c r="I17" s="7">
        <v>44824</v>
      </c>
      <c r="J17" s="7"/>
      <c r="K17" s="22">
        <v>81065404</v>
      </c>
      <c r="L17" s="7">
        <v>45230</v>
      </c>
      <c r="M17" s="11">
        <v>208.9</v>
      </c>
      <c r="N17" s="6" t="s">
        <v>95</v>
      </c>
      <c r="O17" s="5">
        <v>99114973</v>
      </c>
      <c r="P17" s="29" t="s">
        <v>0</v>
      </c>
      <c r="Q17" s="4">
        <f>IF(ISBLANK(OHMeter[[#This Row],[PO Number]]),"",IF(ISBLANK(OHMeter[[#This Row],[Recv Date]]),0,1))</f>
        <v>1</v>
      </c>
      <c r="R17" s="41"/>
    </row>
    <row r="18" spans="1:18" ht="15.6" x14ac:dyDescent="0.3">
      <c r="A18" s="5">
        <f>IF(ISBLANK(OHMeter[[#This Row],[OpCo2]]),"",COUNTA(OHMeter[[#This Row],[OpCo2]])-(COUNTA(OHMeter[[#This Row],[OpCo2]])-ROW(OHMeter[[#This Row],[OpCo2]])+1))</f>
        <v>17</v>
      </c>
      <c r="B18" s="5" t="s">
        <v>17</v>
      </c>
      <c r="C18" s="6" t="s">
        <v>2</v>
      </c>
      <c r="D18" s="6" t="s">
        <v>1</v>
      </c>
      <c r="E18" s="5" t="s">
        <v>85</v>
      </c>
      <c r="F18" s="18">
        <v>612659852</v>
      </c>
      <c r="G18" s="19">
        <v>612659947</v>
      </c>
      <c r="H18" s="4">
        <f>IF(AND(ISBLANK(OHMeter[[#This Row],[Beg Ser]]),ISBLANK(OHMeter[[#This Row],[End Ser]])),"",OHMeter[[#This Row],[End Ser]]-OHMeter[[#This Row],[Beg Ser]]+1)</f>
        <v>96</v>
      </c>
      <c r="I18" s="7">
        <v>45189</v>
      </c>
      <c r="J18" s="7"/>
      <c r="K18" s="22">
        <v>81065404</v>
      </c>
      <c r="L18" s="7">
        <v>45244</v>
      </c>
      <c r="M18" s="11">
        <v>208.9</v>
      </c>
      <c r="N18" s="6" t="s">
        <v>87</v>
      </c>
      <c r="O18" s="5">
        <v>99114972</v>
      </c>
      <c r="P18" s="29" t="s">
        <v>85</v>
      </c>
      <c r="Q18" s="4">
        <f>IF(ISBLANK(OHMeter[[#This Row],[PO Number]]),"",IF(ISBLANK(OHMeter[[#This Row],[Recv Date]]),0,1))</f>
        <v>1</v>
      </c>
      <c r="R18" s="41"/>
    </row>
    <row r="19" spans="1:18" ht="15.6" x14ac:dyDescent="0.3">
      <c r="A19" s="5">
        <f>IF(ISBLANK(OHMeter[[#This Row],[OpCo2]]),"",COUNTA(OHMeter[[#This Row],[OpCo2]])-(COUNTA(OHMeter[[#This Row],[OpCo2]])-ROW(OHMeter[[#This Row],[OpCo2]])+1))</f>
        <v>18</v>
      </c>
      <c r="B19" s="5" t="s">
        <v>17</v>
      </c>
      <c r="C19" s="6" t="s">
        <v>2</v>
      </c>
      <c r="D19" s="6" t="s">
        <v>1</v>
      </c>
      <c r="E19" s="5" t="s">
        <v>106</v>
      </c>
      <c r="F19" s="20">
        <v>912636171</v>
      </c>
      <c r="G19" s="21">
        <v>912636290</v>
      </c>
      <c r="H19" s="4">
        <f>IF(AND(ISBLANK(OHMeter[[#This Row],[Beg Ser]]),ISBLANK(OHMeter[[#This Row],[End Ser]])),"",OHMeter[[#This Row],[End Ser]]-OHMeter[[#This Row],[Beg Ser]]+1)</f>
        <v>120</v>
      </c>
      <c r="I19" s="7">
        <v>44518</v>
      </c>
      <c r="J19" s="7"/>
      <c r="K19" s="22">
        <v>80440340</v>
      </c>
      <c r="L19" s="7">
        <v>45246</v>
      </c>
      <c r="M19" s="11">
        <v>148.88999999999999</v>
      </c>
      <c r="N19" s="6" t="s">
        <v>107</v>
      </c>
      <c r="O19" s="5">
        <v>99057040</v>
      </c>
      <c r="P19" s="29" t="s">
        <v>106</v>
      </c>
      <c r="Q19" s="4">
        <f>IF(ISBLANK(OHMeter[[#This Row],[PO Number]]),"",IF(ISBLANK(OHMeter[[#This Row],[Recv Date]]),0,1))</f>
        <v>1</v>
      </c>
      <c r="R19" s="41"/>
    </row>
    <row r="20" spans="1:18" ht="15.6" x14ac:dyDescent="0.3">
      <c r="A20" s="5">
        <f>IF(ISBLANK(OHMeter[[#This Row],[OpCo2]]),"",COUNTA(OHMeter[[#This Row],[OpCo2]])-(COUNTA(OHMeter[[#This Row],[OpCo2]])-ROW(OHMeter[[#This Row],[OpCo2]])+1))</f>
        <v>19</v>
      </c>
      <c r="B20" s="5" t="s">
        <v>17</v>
      </c>
      <c r="C20" s="6" t="s">
        <v>2</v>
      </c>
      <c r="D20" s="6" t="s">
        <v>1</v>
      </c>
      <c r="E20" s="5" t="s">
        <v>65</v>
      </c>
      <c r="F20" s="20">
        <v>913368640</v>
      </c>
      <c r="G20" s="21">
        <v>913368699</v>
      </c>
      <c r="H20" s="4">
        <f>IF(AND(ISBLANK(OHMeter[[#This Row],[Beg Ser]]),ISBLANK(OHMeter[[#This Row],[End Ser]])),"",OHMeter[[#This Row],[End Ser]]-OHMeter[[#This Row],[Beg Ser]]+1)</f>
        <v>60</v>
      </c>
      <c r="I20" s="7">
        <v>44735</v>
      </c>
      <c r="J20" s="7"/>
      <c r="K20" s="22">
        <v>80923322</v>
      </c>
      <c r="L20" s="7">
        <v>45302</v>
      </c>
      <c r="M20" s="11">
        <v>392.11</v>
      </c>
      <c r="N20" s="6" t="s">
        <v>66</v>
      </c>
      <c r="O20" s="5">
        <v>71058285</v>
      </c>
      <c r="P20" s="29" t="s">
        <v>65</v>
      </c>
      <c r="Q20" s="4">
        <f>IF(ISBLANK(OHMeter[[#This Row],[PO Number]]),"",IF(ISBLANK(OHMeter[[#This Row],[Recv Date]]),0,1))</f>
        <v>1</v>
      </c>
      <c r="R20" s="41" t="s">
        <v>120</v>
      </c>
    </row>
    <row r="21" spans="1:18" ht="15.6" x14ac:dyDescent="0.3">
      <c r="A21" s="5">
        <f>IF(ISBLANK(OHMeter[[#This Row],[OpCo2]]),"",COUNTA(OHMeter[[#This Row],[OpCo2]])-(COUNTA(OHMeter[[#This Row],[OpCo2]])-ROW(OHMeter[[#This Row],[OpCo2]])+1))</f>
        <v>20</v>
      </c>
      <c r="B21" s="5" t="s">
        <v>17</v>
      </c>
      <c r="C21" s="6" t="s">
        <v>2</v>
      </c>
      <c r="D21" s="6" t="s">
        <v>1</v>
      </c>
      <c r="E21" s="5" t="s">
        <v>65</v>
      </c>
      <c r="F21" s="18">
        <v>911794008</v>
      </c>
      <c r="G21" s="19">
        <v>911794067</v>
      </c>
      <c r="H21" s="4">
        <f>IF(AND(ISBLANK(OHMeter[[#This Row],[Beg Ser]]),ISBLANK(OHMeter[[#This Row],[End Ser]])),"",OHMeter[[#This Row],[End Ser]]-OHMeter[[#This Row],[Beg Ser]]+1)</f>
        <v>60</v>
      </c>
      <c r="I21" s="7">
        <v>44518</v>
      </c>
      <c r="J21" s="7"/>
      <c r="K21" s="22">
        <v>80440340</v>
      </c>
      <c r="L21" s="7">
        <v>45302</v>
      </c>
      <c r="M21" s="11">
        <v>392.11</v>
      </c>
      <c r="N21" s="6" t="s">
        <v>66</v>
      </c>
      <c r="O21" s="5">
        <v>71058285</v>
      </c>
      <c r="P21" s="29" t="s">
        <v>65</v>
      </c>
      <c r="Q21" s="4">
        <f>IF(ISBLANK(OHMeter[[#This Row],[PO Number]]),"",IF(ISBLANK(OHMeter[[#This Row],[Recv Date]]),0,1))</f>
        <v>1</v>
      </c>
      <c r="R21" s="41" t="s">
        <v>120</v>
      </c>
    </row>
    <row r="22" spans="1:18" ht="15.6" x14ac:dyDescent="0.3">
      <c r="A22" s="5">
        <f>IF(ISBLANK(OHMeter[[#This Row],[OpCo2]]),"",COUNTA(OHMeter[[#This Row],[OpCo2]])-(COUNTA(OHMeter[[#This Row],[OpCo2]])-ROW(OHMeter[[#This Row],[OpCo2]])+1))</f>
        <v>21</v>
      </c>
      <c r="B22" s="5" t="s">
        <v>17</v>
      </c>
      <c r="C22" s="6" t="s">
        <v>2</v>
      </c>
      <c r="D22" s="6" t="s">
        <v>1</v>
      </c>
      <c r="E22" s="5" t="s">
        <v>65</v>
      </c>
      <c r="F22" s="20">
        <v>913183444</v>
      </c>
      <c r="G22" s="21">
        <v>913183467</v>
      </c>
      <c r="H22" s="4">
        <f>IF(AND(ISBLANK(OHMeter[[#This Row],[Beg Ser]]),ISBLANK(OHMeter[[#This Row],[End Ser]])),"",OHMeter[[#This Row],[End Ser]]-OHMeter[[#This Row],[Beg Ser]]+1)</f>
        <v>24</v>
      </c>
      <c r="I22" s="7">
        <v>44824</v>
      </c>
      <c r="J22" s="7"/>
      <c r="K22" s="22">
        <v>81065404</v>
      </c>
      <c r="L22" s="7">
        <v>45302</v>
      </c>
      <c r="M22" s="11">
        <v>392.11</v>
      </c>
      <c r="N22" s="6" t="s">
        <v>66</v>
      </c>
      <c r="O22" s="5">
        <v>71058285</v>
      </c>
      <c r="P22" s="29" t="s">
        <v>65</v>
      </c>
      <c r="Q22" s="4">
        <f>IF(ISBLANK(OHMeter[[#This Row],[PO Number]]),"",IF(ISBLANK(OHMeter[[#This Row],[Recv Date]]),0,1))</f>
        <v>1</v>
      </c>
      <c r="R22" s="41" t="s">
        <v>120</v>
      </c>
    </row>
    <row r="23" spans="1:18" ht="15.6" x14ac:dyDescent="0.3">
      <c r="A23" s="5">
        <f>IF(ISBLANK(OHMeter[[#This Row],[OpCo2]]),"",COUNTA(OHMeter[[#This Row],[OpCo2]])-(COUNTA(OHMeter[[#This Row],[OpCo2]])-ROW(OHMeter[[#This Row],[OpCo2]])+1))</f>
        <v>22</v>
      </c>
      <c r="B23" s="5" t="s">
        <v>17</v>
      </c>
      <c r="C23" s="34" t="s">
        <v>2</v>
      </c>
      <c r="D23" s="34" t="s">
        <v>1</v>
      </c>
      <c r="E23" s="35" t="s">
        <v>62</v>
      </c>
      <c r="F23" s="36">
        <v>913457298</v>
      </c>
      <c r="G23" s="37">
        <v>913467377</v>
      </c>
      <c r="H23" s="44">
        <f>IF(AND(ISBLANK(OHMeter[[#This Row],[Beg Ser]]),ISBLANK(OHMeter[[#This Row],[End Ser]])),"",OHMeter[[#This Row],[End Ser]]-OHMeter[[#This Row],[Beg Ser]]+1)</f>
        <v>10080</v>
      </c>
      <c r="I23" s="38">
        <v>44567</v>
      </c>
      <c r="J23" s="38"/>
      <c r="K23" s="57">
        <v>80459894</v>
      </c>
      <c r="L23" s="38">
        <v>44934</v>
      </c>
      <c r="M23" s="40">
        <v>113.71</v>
      </c>
      <c r="N23" s="34" t="s">
        <v>73</v>
      </c>
      <c r="O23" s="35">
        <v>99038745</v>
      </c>
      <c r="P23" s="39" t="s">
        <v>62</v>
      </c>
      <c r="Q23" s="4">
        <f>IF(ISBLANK(OHMeter[[#This Row],[PO Number]]),"",IF(ISBLANK(OHMeter[[#This Row],[Recv Date]]),0,1))</f>
        <v>1</v>
      </c>
      <c r="R23" s="45" t="s">
        <v>118</v>
      </c>
    </row>
    <row r="24" spans="1:18" ht="15.6" x14ac:dyDescent="0.3">
      <c r="A24" s="5">
        <f>IF(ISBLANK(OHMeter[[#This Row],[OpCo2]]),"",COUNTA(OHMeter[[#This Row],[OpCo2]])-(COUNTA(OHMeter[[#This Row],[OpCo2]])-ROW(OHMeter[[#This Row],[OpCo2]])+1))</f>
        <v>23</v>
      </c>
      <c r="B24" s="5" t="s">
        <v>17</v>
      </c>
      <c r="C24" s="6" t="s">
        <v>2</v>
      </c>
      <c r="D24" s="6" t="s">
        <v>1</v>
      </c>
      <c r="E24" s="5" t="s">
        <v>62</v>
      </c>
      <c r="F24" s="23">
        <v>913519448</v>
      </c>
      <c r="G24" s="24">
        <v>913519687</v>
      </c>
      <c r="H24" s="4">
        <f>IF(AND(ISBLANK(OHMeter[[#This Row],[Beg Ser]]),ISBLANK(OHMeter[[#This Row],[End Ser]])),"",OHMeter[[#This Row],[End Ser]]-OHMeter[[#This Row],[Beg Ser]]+1)</f>
        <v>240</v>
      </c>
      <c r="I24" s="7">
        <v>44627</v>
      </c>
      <c r="J24" s="7"/>
      <c r="K24" s="22">
        <v>80553944</v>
      </c>
      <c r="L24" s="7">
        <v>45302</v>
      </c>
      <c r="M24" s="11">
        <v>115.6</v>
      </c>
      <c r="N24" s="6" t="s">
        <v>121</v>
      </c>
      <c r="O24" s="5">
        <v>99038751</v>
      </c>
      <c r="P24" s="29" t="s">
        <v>62</v>
      </c>
      <c r="Q24" s="4">
        <f>IF(ISBLANK(OHMeter[[#This Row],[PO Number]]),"",IF(ISBLANK(OHMeter[[#This Row],[Recv Date]]),0,1))</f>
        <v>1</v>
      </c>
      <c r="R24" s="41" t="s">
        <v>119</v>
      </c>
    </row>
    <row r="25" spans="1:18" ht="15.6" x14ac:dyDescent="0.3">
      <c r="A25" s="5">
        <f>IF(ISBLANK(OHMeter[[#This Row],[OpCo2]]),"",COUNTA(OHMeter[[#This Row],[OpCo2]])-(COUNTA(OHMeter[[#This Row],[OpCo2]])-ROW(OHMeter[[#This Row],[OpCo2]])+1))</f>
        <v>24</v>
      </c>
      <c r="B25" s="35" t="s">
        <v>17</v>
      </c>
      <c r="C25" s="34" t="s">
        <v>2</v>
      </c>
      <c r="D25" s="34" t="s">
        <v>1</v>
      </c>
      <c r="E25" s="35" t="s">
        <v>122</v>
      </c>
      <c r="F25" s="36">
        <v>913522286</v>
      </c>
      <c r="G25" s="37">
        <v>913522405</v>
      </c>
      <c r="H25" s="44">
        <f>IF(AND(ISBLANK(OHMeter[[#This Row],[Beg Ser]]),ISBLANK(OHMeter[[#This Row],[End Ser]])),"",OHMeter[[#This Row],[End Ser]]-OHMeter[[#This Row],[Beg Ser]]+1)</f>
        <v>120</v>
      </c>
      <c r="I25" s="38">
        <v>44572</v>
      </c>
      <c r="J25" s="38"/>
      <c r="K25" s="57">
        <v>80461497</v>
      </c>
      <c r="L25" s="38">
        <v>45315</v>
      </c>
      <c r="M25" s="40">
        <v>165.73</v>
      </c>
      <c r="N25" s="34" t="s">
        <v>123</v>
      </c>
      <c r="O25" s="34" t="s">
        <v>124</v>
      </c>
      <c r="P25" s="39" t="s">
        <v>122</v>
      </c>
      <c r="Q25" s="4">
        <f>IF(ISBLANK(OHMeter[[#This Row],[PO Number]]),"",IF(ISBLANK(OHMeter[[#This Row],[Recv Date]]),0,1))</f>
        <v>1</v>
      </c>
      <c r="R25" s="45" t="s">
        <v>118</v>
      </c>
    </row>
    <row r="26" spans="1:18" ht="15.6" x14ac:dyDescent="0.3">
      <c r="A26" s="5">
        <f>IF(ISBLANK(OHMeter[[#This Row],[OpCo2]]),"",COUNTA(OHMeter[[#This Row],[OpCo2]])-(COUNTA(OHMeter[[#This Row],[OpCo2]])-ROW(OHMeter[[#This Row],[OpCo2]])+1))</f>
        <v>25</v>
      </c>
      <c r="B26" s="35" t="s">
        <v>17</v>
      </c>
      <c r="C26" s="34" t="s">
        <v>2</v>
      </c>
      <c r="D26" s="34" t="s">
        <v>1</v>
      </c>
      <c r="E26" s="35" t="s">
        <v>71</v>
      </c>
      <c r="F26" s="36">
        <v>913519208</v>
      </c>
      <c r="G26" s="37">
        <v>913519447</v>
      </c>
      <c r="H26" s="44">
        <f>IF(AND(ISBLANK(OHMeter[[#This Row],[Beg Ser]]),ISBLANK(OHMeter[[#This Row],[End Ser]])),"",OHMeter[[#This Row],[End Ser]]-OHMeter[[#This Row],[Beg Ser]]+1)</f>
        <v>240</v>
      </c>
      <c r="I26" s="38">
        <v>44572</v>
      </c>
      <c r="J26" s="38"/>
      <c r="K26" s="57">
        <v>80461497</v>
      </c>
      <c r="L26" s="38">
        <v>45315</v>
      </c>
      <c r="M26" s="40">
        <v>160.69</v>
      </c>
      <c r="N26" s="34" t="s">
        <v>72</v>
      </c>
      <c r="O26" s="35">
        <v>99038747</v>
      </c>
      <c r="P26" s="39" t="s">
        <v>71</v>
      </c>
      <c r="Q26" s="4">
        <f>IF(ISBLANK(OHMeter[[#This Row],[PO Number]]),"",IF(ISBLANK(OHMeter[[#This Row],[Recv Date]]),0,1))</f>
        <v>1</v>
      </c>
      <c r="R26" s="45" t="s">
        <v>118</v>
      </c>
    </row>
    <row r="27" spans="1:18" ht="15.6" x14ac:dyDescent="0.3">
      <c r="A27" s="5">
        <f>IF(ISBLANK(OHMeter[[#This Row],[OpCo2]]),"",COUNTA(OHMeter[[#This Row],[OpCo2]])-(COUNTA(OHMeter[[#This Row],[OpCo2]])-ROW(OHMeter[[#This Row],[OpCo2]])+1))</f>
        <v>26</v>
      </c>
      <c r="B27" s="5" t="s">
        <v>17</v>
      </c>
      <c r="C27" s="6" t="s">
        <v>2</v>
      </c>
      <c r="D27" s="6" t="s">
        <v>1</v>
      </c>
      <c r="E27" s="5" t="s">
        <v>71</v>
      </c>
      <c r="F27" s="18">
        <v>913518728</v>
      </c>
      <c r="G27" s="19">
        <v>913519207</v>
      </c>
      <c r="H27" s="4">
        <f>IF(AND(ISBLANK(OHMeter[[#This Row],[Beg Ser]]),ISBLANK(OHMeter[[#This Row],[End Ser]])),"",OHMeter[[#This Row],[End Ser]]-OHMeter[[#This Row],[Beg Ser]]+1)</f>
        <v>480</v>
      </c>
      <c r="I27" s="7">
        <v>44627</v>
      </c>
      <c r="J27" s="7"/>
      <c r="K27" s="22">
        <v>80553944</v>
      </c>
      <c r="L27" s="7">
        <v>45315</v>
      </c>
      <c r="M27" s="11">
        <v>160.69</v>
      </c>
      <c r="N27" s="6" t="s">
        <v>72</v>
      </c>
      <c r="O27" s="5">
        <v>99038747</v>
      </c>
      <c r="P27" s="29" t="s">
        <v>71</v>
      </c>
      <c r="Q27" s="4">
        <f>IF(ISBLANK(OHMeter[[#This Row],[PO Number]]),"",IF(ISBLANK(OHMeter[[#This Row],[Recv Date]]),0,1))</f>
        <v>1</v>
      </c>
      <c r="R27" s="41" t="s">
        <v>120</v>
      </c>
    </row>
    <row r="28" spans="1:18" ht="15.6" x14ac:dyDescent="0.3">
      <c r="A28" s="5">
        <f>IF(ISBLANK(OHMeter[[#This Row],[OpCo2]]),"",COUNTA(OHMeter[[#This Row],[OpCo2]])-(COUNTA(OHMeter[[#This Row],[OpCo2]])-ROW(OHMeter[[#This Row],[OpCo2]])+1))</f>
        <v>27</v>
      </c>
      <c r="B28" s="5" t="s">
        <v>17</v>
      </c>
      <c r="C28" s="6" t="s">
        <v>2</v>
      </c>
      <c r="D28" s="6" t="s">
        <v>1</v>
      </c>
      <c r="E28" s="5" t="s">
        <v>62</v>
      </c>
      <c r="F28" s="18">
        <v>913480938</v>
      </c>
      <c r="G28" s="19">
        <v>913486937</v>
      </c>
      <c r="H28" s="4">
        <f>IF(AND(ISBLANK(OHMeter[[#This Row],[Beg Ser]]),ISBLANK(OHMeter[[#This Row],[End Ser]])),"",OHMeter[[#This Row],[End Ser]]-OHMeter[[#This Row],[Beg Ser]]+1)</f>
        <v>6000</v>
      </c>
      <c r="I28" s="7">
        <v>44627</v>
      </c>
      <c r="J28" s="7"/>
      <c r="K28" s="22">
        <v>80553944</v>
      </c>
      <c r="L28" s="7">
        <v>45315</v>
      </c>
      <c r="M28" s="11">
        <v>113.71</v>
      </c>
      <c r="N28" s="6" t="s">
        <v>73</v>
      </c>
      <c r="O28" s="5">
        <v>99038745</v>
      </c>
      <c r="P28" s="29" t="s">
        <v>62</v>
      </c>
      <c r="Q28" s="4">
        <f>IF(ISBLANK(OHMeter[[#This Row],[PO Number]]),"",IF(ISBLANK(OHMeter[[#This Row],[Recv Date]]),0,1))</f>
        <v>1</v>
      </c>
      <c r="R28" s="41" t="s">
        <v>120</v>
      </c>
    </row>
    <row r="29" spans="1:18" ht="15.6" x14ac:dyDescent="0.3">
      <c r="A29" s="5">
        <f>IF(ISBLANK(OHMeter[[#This Row],[OpCo2]]),"",COUNTA(OHMeter[[#This Row],[OpCo2]])-(COUNTA(OHMeter[[#This Row],[OpCo2]])-ROW(OHMeter[[#This Row],[OpCo2]])+1))</f>
        <v>28</v>
      </c>
      <c r="B29" s="35" t="s">
        <v>17</v>
      </c>
      <c r="C29" s="34" t="s">
        <v>2</v>
      </c>
      <c r="D29" s="34" t="s">
        <v>1</v>
      </c>
      <c r="E29" s="35" t="s">
        <v>62</v>
      </c>
      <c r="F29" s="42">
        <v>913497018</v>
      </c>
      <c r="G29" s="43">
        <v>913507097</v>
      </c>
      <c r="H29" s="44">
        <f>IF(AND(ISBLANK(OHMeter[[#This Row],[Beg Ser]]),ISBLANK(OHMeter[[#This Row],[End Ser]])),"",OHMeter[[#This Row],[End Ser]]-OHMeter[[#This Row],[Beg Ser]]+1)</f>
        <v>10080</v>
      </c>
      <c r="I29" s="38">
        <v>44572</v>
      </c>
      <c r="J29" s="38"/>
      <c r="K29" s="57">
        <v>80461497</v>
      </c>
      <c r="L29" s="38">
        <v>45316</v>
      </c>
      <c r="M29" s="40">
        <v>113.71</v>
      </c>
      <c r="N29" s="34" t="s">
        <v>73</v>
      </c>
      <c r="O29" s="35">
        <v>99038745</v>
      </c>
      <c r="P29" s="39" t="s">
        <v>62</v>
      </c>
      <c r="Q29" s="4">
        <f>IF(ISBLANK(OHMeter[[#This Row],[PO Number]]),"",IF(ISBLANK(OHMeter[[#This Row],[Recv Date]]),0,1))</f>
        <v>1</v>
      </c>
      <c r="R29" s="45" t="s">
        <v>118</v>
      </c>
    </row>
    <row r="30" spans="1:18" ht="15.6" x14ac:dyDescent="0.3">
      <c r="A30" s="5">
        <f>IF(ISBLANK(OHMeter[[#This Row],[OpCo2]]),"",COUNTA(OHMeter[[#This Row],[OpCo2]])-(COUNTA(OHMeter[[#This Row],[OpCo2]])-ROW(OHMeter[[#This Row],[OpCo2]])+1))</f>
        <v>29</v>
      </c>
      <c r="B30" s="35" t="s">
        <v>17</v>
      </c>
      <c r="C30" s="34" t="s">
        <v>2</v>
      </c>
      <c r="D30" s="34" t="s">
        <v>1</v>
      </c>
      <c r="E30" s="35" t="s">
        <v>128</v>
      </c>
      <c r="F30" s="42">
        <v>613639209</v>
      </c>
      <c r="G30" s="43">
        <v>613639304</v>
      </c>
      <c r="H30" s="44">
        <f>IF(AND(ISBLANK(OHMeter[[#This Row],[Beg Ser]]),ISBLANK(OHMeter[[#This Row],[End Ser]])),"",OHMeter[[#This Row],[End Ser]]-OHMeter[[#This Row],[Beg Ser]]+1)</f>
        <v>96</v>
      </c>
      <c r="I30" s="38">
        <v>44572</v>
      </c>
      <c r="J30" s="38"/>
      <c r="K30" s="57">
        <v>80461496</v>
      </c>
      <c r="L30" s="38">
        <v>45321</v>
      </c>
      <c r="M30" s="40">
        <v>225.98</v>
      </c>
      <c r="N30" s="34" t="s">
        <v>131</v>
      </c>
      <c r="O30" s="34" t="s">
        <v>134</v>
      </c>
      <c r="P30" s="39" t="s">
        <v>128</v>
      </c>
      <c r="Q30" s="4">
        <f>IF(ISBLANK(OHMeter[[#This Row],[PO Number]]),"",IF(ISBLANK(OHMeter[[#This Row],[Recv Date]]),0,1))</f>
        <v>1</v>
      </c>
      <c r="R30" s="45" t="s">
        <v>118</v>
      </c>
    </row>
    <row r="31" spans="1:18" ht="15.6" x14ac:dyDescent="0.3">
      <c r="A31" s="5">
        <f>IF(ISBLANK(OHMeter[[#This Row],[OpCo2]]),"",COUNTA(OHMeter[[#This Row],[OpCo2]])-(COUNTA(OHMeter[[#This Row],[OpCo2]])-ROW(OHMeter[[#This Row],[OpCo2]])+1))</f>
        <v>30</v>
      </c>
      <c r="B31" s="35" t="s">
        <v>17</v>
      </c>
      <c r="C31" s="34" t="s">
        <v>2</v>
      </c>
      <c r="D31" s="34" t="s">
        <v>1</v>
      </c>
      <c r="E31" s="35" t="s">
        <v>85</v>
      </c>
      <c r="F31" s="42">
        <v>613657922</v>
      </c>
      <c r="G31" s="43">
        <v>613658113</v>
      </c>
      <c r="H31" s="44">
        <f>IF(AND(ISBLANK(OHMeter[[#This Row],[Beg Ser]]),ISBLANK(OHMeter[[#This Row],[End Ser]])),"",OHMeter[[#This Row],[End Ser]]-OHMeter[[#This Row],[Beg Ser]]+1)</f>
        <v>192</v>
      </c>
      <c r="I31" s="38">
        <v>44885</v>
      </c>
      <c r="J31" s="38"/>
      <c r="K31" s="57">
        <v>81096986</v>
      </c>
      <c r="L31" s="38">
        <v>45321</v>
      </c>
      <c r="M31" s="40">
        <v>215.16</v>
      </c>
      <c r="N31" s="34" t="s">
        <v>87</v>
      </c>
      <c r="O31" s="34" t="s">
        <v>136</v>
      </c>
      <c r="P31" s="39" t="s">
        <v>85</v>
      </c>
      <c r="Q31" s="4">
        <f>IF(ISBLANK(OHMeter[[#This Row],[PO Number]]),"",IF(ISBLANK(OHMeter[[#This Row],[Recv Date]]),0,1))</f>
        <v>1</v>
      </c>
      <c r="R31" s="45" t="s">
        <v>118</v>
      </c>
    </row>
    <row r="32" spans="1:18" ht="15.6" x14ac:dyDescent="0.3">
      <c r="A32" s="5">
        <f>IF(ISBLANK(OHMeter[[#This Row],[OpCo2]]),"",COUNTA(OHMeter[[#This Row],[OpCo2]])-(COUNTA(OHMeter[[#This Row],[OpCo2]])-ROW(OHMeter[[#This Row],[OpCo2]])+1))</f>
        <v>31</v>
      </c>
      <c r="B32" s="35" t="s">
        <v>17</v>
      </c>
      <c r="C32" s="34" t="s">
        <v>2</v>
      </c>
      <c r="D32" s="34" t="s">
        <v>1</v>
      </c>
      <c r="E32" s="35" t="s">
        <v>0</v>
      </c>
      <c r="F32" s="42">
        <v>613656674</v>
      </c>
      <c r="G32" s="43">
        <v>613656961</v>
      </c>
      <c r="H32" s="44">
        <f>IF(AND(ISBLANK(OHMeter[[#This Row],[Beg Ser]]),ISBLANK(OHMeter[[#This Row],[End Ser]])),"",OHMeter[[#This Row],[End Ser]]-OHMeter[[#This Row],[Beg Ser]]+1)</f>
        <v>288</v>
      </c>
      <c r="I32" s="38">
        <v>44885</v>
      </c>
      <c r="J32" s="38"/>
      <c r="K32" s="57">
        <v>81096986</v>
      </c>
      <c r="L32" s="38">
        <v>45321</v>
      </c>
      <c r="M32" s="40">
        <v>215.16</v>
      </c>
      <c r="N32" s="34" t="s">
        <v>95</v>
      </c>
      <c r="O32" s="34" t="s">
        <v>135</v>
      </c>
      <c r="P32" s="39" t="s">
        <v>0</v>
      </c>
      <c r="Q32" s="4">
        <f>IF(ISBLANK(OHMeter[[#This Row],[PO Number]]),"",IF(ISBLANK(OHMeter[[#This Row],[Recv Date]]),0,1))</f>
        <v>1</v>
      </c>
      <c r="R32" s="45" t="s">
        <v>118</v>
      </c>
    </row>
    <row r="33" spans="1:18" ht="15.6" x14ac:dyDescent="0.3">
      <c r="A33" s="5">
        <f>IF(ISBLANK(OHMeter[[#This Row],[OpCo2]]),"",COUNTA(OHMeter[[#This Row],[OpCo2]])-(COUNTA(OHMeter[[#This Row],[OpCo2]])-ROW(OHMeter[[#This Row],[OpCo2]])+1))</f>
        <v>32</v>
      </c>
      <c r="B33" s="35" t="s">
        <v>17</v>
      </c>
      <c r="C33" s="34" t="s">
        <v>2</v>
      </c>
      <c r="D33" s="34" t="s">
        <v>1</v>
      </c>
      <c r="E33" s="35" t="s">
        <v>0</v>
      </c>
      <c r="F33" s="42">
        <v>613656482</v>
      </c>
      <c r="G33" s="43">
        <v>613656673</v>
      </c>
      <c r="H33" s="44">
        <f>IF(AND(ISBLANK(OHMeter[[#This Row],[Beg Ser]]),ISBLANK(OHMeter[[#This Row],[End Ser]])),"",OHMeter[[#This Row],[End Ser]]-OHMeter[[#This Row],[Beg Ser]]+1)</f>
        <v>192</v>
      </c>
      <c r="I33" s="38">
        <v>44735</v>
      </c>
      <c r="J33" s="38"/>
      <c r="K33" s="57">
        <v>80923322</v>
      </c>
      <c r="L33" s="38">
        <v>45321</v>
      </c>
      <c r="M33" s="40">
        <v>215.16</v>
      </c>
      <c r="N33" s="34" t="s">
        <v>95</v>
      </c>
      <c r="O33" s="34" t="s">
        <v>135</v>
      </c>
      <c r="P33" s="39" t="s">
        <v>0</v>
      </c>
      <c r="Q33" s="4">
        <f>IF(ISBLANK(OHMeter[[#This Row],[PO Number]]),"",IF(ISBLANK(OHMeter[[#This Row],[Recv Date]]),0,1))</f>
        <v>1</v>
      </c>
      <c r="R33" s="45" t="s">
        <v>118</v>
      </c>
    </row>
    <row r="34" spans="1:18" ht="15.6" x14ac:dyDescent="0.3">
      <c r="A34" s="5">
        <f>IF(ISBLANK(OHMeter[[#This Row],[OpCo2]]),"",COUNTA(OHMeter[[#This Row],[OpCo2]])-(COUNTA(OHMeter[[#This Row],[OpCo2]])-ROW(OHMeter[[#This Row],[OpCo2]])+1))</f>
        <v>33</v>
      </c>
      <c r="B34" s="44" t="s">
        <v>17</v>
      </c>
      <c r="C34" s="34" t="s">
        <v>2</v>
      </c>
      <c r="D34" s="34" t="s">
        <v>1</v>
      </c>
      <c r="E34" s="35" t="s">
        <v>130</v>
      </c>
      <c r="F34" s="42">
        <v>613639177</v>
      </c>
      <c r="G34" s="43">
        <v>613639208</v>
      </c>
      <c r="H34" s="44">
        <f>IF(AND(ISBLANK(OHMeter[[#This Row],[Beg Ser]]),ISBLANK(OHMeter[[#This Row],[End Ser]])),"",OHMeter[[#This Row],[End Ser]]-OHMeter[[#This Row],[Beg Ser]]+1)</f>
        <v>32</v>
      </c>
      <c r="I34" s="38">
        <v>44572</v>
      </c>
      <c r="J34" s="38"/>
      <c r="K34" s="57">
        <v>80461496</v>
      </c>
      <c r="L34" s="38">
        <v>45321</v>
      </c>
      <c r="M34" s="40">
        <v>215.16</v>
      </c>
      <c r="N34" s="34" t="s">
        <v>132</v>
      </c>
      <c r="O34" s="34" t="s">
        <v>133</v>
      </c>
      <c r="P34" s="39" t="s">
        <v>130</v>
      </c>
      <c r="Q34" s="4">
        <f>IF(ISBLANK(OHMeter[[#This Row],[PO Number]]),"",IF(ISBLANK(OHMeter[[#This Row],[Recv Date]]),0,1))</f>
        <v>1</v>
      </c>
      <c r="R34" s="45" t="s">
        <v>118</v>
      </c>
    </row>
    <row r="35" spans="1:18" ht="15.6" x14ac:dyDescent="0.3">
      <c r="A35" s="5">
        <f>IF(ISBLANK(OHMeter[[#This Row],[OpCo2]]),"",COUNTA(OHMeter[[#This Row],[OpCo2]])-(COUNTA(OHMeter[[#This Row],[OpCo2]])-ROW(OHMeter[[#This Row],[OpCo2]])+1))</f>
        <v>34</v>
      </c>
      <c r="B35" s="35" t="s">
        <v>17</v>
      </c>
      <c r="C35" s="34" t="s">
        <v>2</v>
      </c>
      <c r="D35" s="34" t="s">
        <v>1</v>
      </c>
      <c r="E35" s="35" t="s">
        <v>85</v>
      </c>
      <c r="F35" s="58">
        <v>613656962</v>
      </c>
      <c r="G35" s="59">
        <v>613657921</v>
      </c>
      <c r="H35" s="44">
        <f>IF(AND(ISBLANK(OHMeter[[#This Row],[Beg Ser]]),ISBLANK(OHMeter[[#This Row],[End Ser]])),"",OHMeter[[#This Row],[End Ser]]-OHMeter[[#This Row],[Beg Ser]]+1)</f>
        <v>960</v>
      </c>
      <c r="I35" s="38">
        <v>44572</v>
      </c>
      <c r="J35" s="38"/>
      <c r="K35" s="57">
        <v>80461497</v>
      </c>
      <c r="L35" s="38">
        <v>45327</v>
      </c>
      <c r="M35" s="40">
        <v>215.16</v>
      </c>
      <c r="N35" s="34" t="s">
        <v>87</v>
      </c>
      <c r="O35" s="35">
        <v>99114972</v>
      </c>
      <c r="P35" s="39" t="s">
        <v>85</v>
      </c>
      <c r="Q35" s="4">
        <f>IF(ISBLANK(OHMeter[[#This Row],[PO Number]]),"",IF(ISBLANK(OHMeter[[#This Row],[Recv Date]]),0,1))</f>
        <v>1</v>
      </c>
      <c r="R35" s="60" t="s">
        <v>118</v>
      </c>
    </row>
    <row r="36" spans="1:18" ht="15.6" x14ac:dyDescent="0.3">
      <c r="A36" s="5">
        <f>IF(ISBLANK(OHMeter[[#This Row],[OpCo2]]),"",COUNTA(OHMeter[[#This Row],[OpCo2]])-(COUNTA(OHMeter[[#This Row],[OpCo2]])-ROW(OHMeter[[#This Row],[OpCo2]])+1))</f>
        <v>35</v>
      </c>
      <c r="B36" s="35" t="s">
        <v>17</v>
      </c>
      <c r="C36" s="34" t="s">
        <v>2</v>
      </c>
      <c r="D36" s="34" t="s">
        <v>1</v>
      </c>
      <c r="E36" s="35" t="s">
        <v>137</v>
      </c>
      <c r="F36" s="36">
        <v>613658114</v>
      </c>
      <c r="G36" s="61">
        <v>613658161</v>
      </c>
      <c r="H36" s="44">
        <f>IF(AND(ISBLANK(OHMeter[[#This Row],[Beg Ser]]),ISBLANK(OHMeter[[#This Row],[End Ser]])),"",OHMeter[[#This Row],[End Ser]]-OHMeter[[#This Row],[Beg Ser]]+1)</f>
        <v>48</v>
      </c>
      <c r="I36" s="38">
        <v>44572</v>
      </c>
      <c r="J36" s="38"/>
      <c r="K36" s="57">
        <v>80461496</v>
      </c>
      <c r="L36" s="38">
        <v>45327</v>
      </c>
      <c r="M36" s="40">
        <v>215.16</v>
      </c>
      <c r="N36" s="34" t="s">
        <v>138</v>
      </c>
      <c r="O36" s="35">
        <v>99114976</v>
      </c>
      <c r="P36" s="39" t="s">
        <v>137</v>
      </c>
      <c r="Q36" s="4">
        <f>IF(ISBLANK(OHMeter[[#This Row],[PO Number]]),"",IF(ISBLANK(OHMeter[[#This Row],[Recv Date]]),0,1))</f>
        <v>1</v>
      </c>
      <c r="R36" s="60" t="s">
        <v>118</v>
      </c>
    </row>
    <row r="37" spans="1:18" ht="15.6" x14ac:dyDescent="0.3">
      <c r="A37" s="5">
        <f>IF(ISBLANK(OHMeter[[#This Row],[OpCo2]]),"",COUNTA(OHMeter[[#This Row],[OpCo2]])-(COUNTA(OHMeter[[#This Row],[OpCo2]])-ROW(OHMeter[[#This Row],[OpCo2]])+1))</f>
        <v>36</v>
      </c>
      <c r="B37" s="35" t="s">
        <v>17</v>
      </c>
      <c r="C37" s="34" t="s">
        <v>2</v>
      </c>
      <c r="D37" s="34" t="s">
        <v>1</v>
      </c>
      <c r="E37" s="35" t="s">
        <v>0</v>
      </c>
      <c r="F37" s="36">
        <v>613655522</v>
      </c>
      <c r="G37" s="61">
        <v>613656481</v>
      </c>
      <c r="H37" s="44">
        <f>IF(AND(ISBLANK(OHMeter[[#This Row],[Beg Ser]]),ISBLANK(OHMeter[[#This Row],[End Ser]])),"",OHMeter[[#This Row],[End Ser]]-OHMeter[[#This Row],[Beg Ser]]+1)</f>
        <v>960</v>
      </c>
      <c r="I37" s="38">
        <v>44572</v>
      </c>
      <c r="J37" s="38"/>
      <c r="K37" s="57">
        <v>80461497</v>
      </c>
      <c r="L37" s="38">
        <v>45327</v>
      </c>
      <c r="M37" s="40">
        <v>215.16</v>
      </c>
      <c r="N37" s="34" t="s">
        <v>95</v>
      </c>
      <c r="O37" s="35">
        <v>99114973</v>
      </c>
      <c r="P37" s="39" t="s">
        <v>0</v>
      </c>
      <c r="Q37" s="4">
        <f>IF(ISBLANK(OHMeter[[#This Row],[PO Number]]),"",IF(ISBLANK(OHMeter[[#This Row],[Recv Date]]),0,1))</f>
        <v>1</v>
      </c>
      <c r="R37" s="60" t="s">
        <v>118</v>
      </c>
    </row>
    <row r="38" spans="1:18" ht="15.6" x14ac:dyDescent="0.3">
      <c r="A38" s="5">
        <f>IF(ISBLANK(OHMeter[[#This Row],[OpCo2]]),"",COUNTA(OHMeter[[#This Row],[OpCo2]])-(COUNTA(OHMeter[[#This Row],[OpCo2]])-ROW(OHMeter[[#This Row],[OpCo2]])+1))</f>
        <v>37</v>
      </c>
      <c r="B38" s="35" t="s">
        <v>17</v>
      </c>
      <c r="C38" s="34" t="s">
        <v>2</v>
      </c>
      <c r="D38" s="34" t="s">
        <v>1</v>
      </c>
      <c r="E38" s="35" t="s">
        <v>62</v>
      </c>
      <c r="F38" s="36">
        <v>913507098</v>
      </c>
      <c r="G38" s="61">
        <v>913517177</v>
      </c>
      <c r="H38" s="44">
        <f>IF(AND(ISBLANK(OHMeter[[#This Row],[Beg Ser]]),ISBLANK(OHMeter[[#This Row],[End Ser]])),"",OHMeter[[#This Row],[End Ser]]-OHMeter[[#This Row],[Beg Ser]]+1)</f>
        <v>10080</v>
      </c>
      <c r="I38" s="38">
        <v>44572</v>
      </c>
      <c r="J38" s="38"/>
      <c r="K38" s="57">
        <v>80461497</v>
      </c>
      <c r="L38" s="38">
        <v>45345</v>
      </c>
      <c r="M38" s="40">
        <v>113.71</v>
      </c>
      <c r="N38" s="34" t="s">
        <v>73</v>
      </c>
      <c r="O38" s="35">
        <v>99038745</v>
      </c>
      <c r="P38" s="39" t="s">
        <v>62</v>
      </c>
      <c r="Q38" s="4">
        <f>IF(ISBLANK(OHMeter[[#This Row],[PO Number]]),"",IF(ISBLANK(OHMeter[[#This Row],[Recv Date]]),0,1))</f>
        <v>1</v>
      </c>
      <c r="R38" s="60" t="s">
        <v>118</v>
      </c>
    </row>
    <row r="39" spans="1:18" s="62" customFormat="1" ht="15.6" x14ac:dyDescent="0.3">
      <c r="A39" s="5">
        <f>IF(ISBLANK(OHMeter[[#This Row],[OpCo2]]),"",COUNTA(OHMeter[[#This Row],[OpCo2]])-(COUNTA(OHMeter[[#This Row],[OpCo2]])-ROW(OHMeter[[#This Row],[OpCo2]])+1))</f>
        <v>38</v>
      </c>
      <c r="B39" s="5" t="s">
        <v>17</v>
      </c>
      <c r="C39" s="6" t="s">
        <v>2</v>
      </c>
      <c r="D39" s="6" t="s">
        <v>1</v>
      </c>
      <c r="E39" s="5" t="s">
        <v>62</v>
      </c>
      <c r="F39" s="23">
        <v>913179948</v>
      </c>
      <c r="G39" s="55">
        <v>913181147</v>
      </c>
      <c r="H39" s="4">
        <f>IF(AND(ISBLANK(OHMeter[[#This Row],[Beg Ser]]),ISBLANK(OHMeter[[#This Row],[End Ser]])),"",OHMeter[[#This Row],[End Ser]]-OHMeter[[#This Row],[Beg Ser]]+1)</f>
        <v>1200</v>
      </c>
      <c r="I39" s="7">
        <v>44824</v>
      </c>
      <c r="J39" s="7"/>
      <c r="K39" s="22">
        <v>81065405</v>
      </c>
      <c r="L39" s="7">
        <v>45345</v>
      </c>
      <c r="M39" s="11">
        <v>113.71</v>
      </c>
      <c r="N39" s="6" t="s">
        <v>73</v>
      </c>
      <c r="O39" s="5">
        <v>99038745</v>
      </c>
      <c r="P39" s="29" t="s">
        <v>62</v>
      </c>
      <c r="Q39" s="4">
        <f>IF(ISBLANK(OHMeter[[#This Row],[PO Number]]),"",IF(ISBLANK(OHMeter[[#This Row],[Recv Date]]),0,1))</f>
        <v>1</v>
      </c>
      <c r="R39" s="54" t="s">
        <v>120</v>
      </c>
    </row>
    <row r="40" spans="1:18" s="62" customFormat="1" ht="15.6" x14ac:dyDescent="0.3">
      <c r="A40" s="5">
        <f>IF(ISBLANK(OHMeter[[#This Row],[OpCo2]]),"",COUNTA(OHMeter[[#This Row],[OpCo2]])-(COUNTA(OHMeter[[#This Row],[OpCo2]])-ROW(OHMeter[[#This Row],[OpCo2]])+1))</f>
        <v>39</v>
      </c>
      <c r="B40" s="5" t="s">
        <v>17</v>
      </c>
      <c r="C40" s="6" t="s">
        <v>2</v>
      </c>
      <c r="D40" s="6" t="s">
        <v>1</v>
      </c>
      <c r="E40" s="5" t="s">
        <v>89</v>
      </c>
      <c r="F40" s="23">
        <v>913183396</v>
      </c>
      <c r="G40" s="55">
        <v>913183443</v>
      </c>
      <c r="H40" s="4">
        <f>IF(AND(ISBLANK(OHMeter[[#This Row],[Beg Ser]]),ISBLANK(OHMeter[[#This Row],[End Ser]])),"",OHMeter[[#This Row],[End Ser]]-OHMeter[[#This Row],[Beg Ser]]+1)</f>
        <v>48</v>
      </c>
      <c r="I40" s="7">
        <v>44824</v>
      </c>
      <c r="J40" s="7"/>
      <c r="K40" s="22">
        <v>81065405</v>
      </c>
      <c r="L40" s="7">
        <v>45345</v>
      </c>
      <c r="M40" s="11">
        <v>403.88</v>
      </c>
      <c r="N40" s="6" t="s">
        <v>88</v>
      </c>
      <c r="O40" s="5">
        <v>71058283</v>
      </c>
      <c r="P40" s="29" t="s">
        <v>89</v>
      </c>
      <c r="Q40" s="4">
        <f>IF(ISBLANK(OHMeter[[#This Row],[PO Number]]),"",IF(ISBLANK(OHMeter[[#This Row],[Recv Date]]),0,1))</f>
        <v>1</v>
      </c>
      <c r="R40" s="54" t="s">
        <v>120</v>
      </c>
    </row>
    <row r="41" spans="1:18" s="62" customFormat="1" ht="15.6" x14ac:dyDescent="0.3">
      <c r="A41" s="5">
        <f>IF(ISBLANK(OHMeter[[#This Row],[OpCo2]]),"",COUNTA(OHMeter[[#This Row],[OpCo2]])-(COUNTA(OHMeter[[#This Row],[OpCo2]])-ROW(OHMeter[[#This Row],[OpCo2]])+1))</f>
        <v>40</v>
      </c>
      <c r="B41" s="35" t="s">
        <v>17</v>
      </c>
      <c r="C41" s="34" t="s">
        <v>2</v>
      </c>
      <c r="D41" s="34" t="s">
        <v>1</v>
      </c>
      <c r="E41" s="35" t="s">
        <v>62</v>
      </c>
      <c r="F41" s="36">
        <v>913486938</v>
      </c>
      <c r="G41" s="61">
        <v>913497017</v>
      </c>
      <c r="H41" s="44">
        <f>IF(AND(ISBLANK(OHMeter[[#This Row],[Beg Ser]]),ISBLANK(OHMeter[[#This Row],[End Ser]])),"",OHMeter[[#This Row],[End Ser]]-OHMeter[[#This Row],[Beg Ser]]+1)</f>
        <v>10080</v>
      </c>
      <c r="I41" s="38">
        <v>44567</v>
      </c>
      <c r="J41" s="38"/>
      <c r="K41" s="57">
        <v>80459895</v>
      </c>
      <c r="L41" s="38">
        <v>45351</v>
      </c>
      <c r="M41" s="40">
        <v>113.71</v>
      </c>
      <c r="N41" s="34" t="s">
        <v>73</v>
      </c>
      <c r="O41" s="35">
        <v>99038745</v>
      </c>
      <c r="P41" s="39" t="s">
        <v>62</v>
      </c>
      <c r="Q41" s="4">
        <f>IF(ISBLANK(OHMeter[[#This Row],[PO Number]]),"",IF(ISBLANK(OHMeter[[#This Row],[Recv Date]]),0,1))</f>
        <v>1</v>
      </c>
      <c r="R41" s="60" t="s">
        <v>118</v>
      </c>
    </row>
    <row r="42" spans="1:18" s="62" customFormat="1" ht="15.6" x14ac:dyDescent="0.3">
      <c r="A42" s="5">
        <f>IF(ISBLANK(OHMeter[[#This Row],[OpCo2]]),"",COUNTA(OHMeter[[#This Row],[OpCo2]])-(COUNTA(OHMeter[[#This Row],[OpCo2]])-ROW(OHMeter[[#This Row],[OpCo2]])+1))</f>
        <v>41</v>
      </c>
      <c r="B42" s="5" t="s">
        <v>17</v>
      </c>
      <c r="C42" s="34" t="s">
        <v>2</v>
      </c>
      <c r="D42" s="34" t="s">
        <v>1</v>
      </c>
      <c r="E42" s="35" t="s">
        <v>126</v>
      </c>
      <c r="F42" s="36">
        <v>913996159</v>
      </c>
      <c r="G42" s="61">
        <v>913996878</v>
      </c>
      <c r="H42" s="44">
        <f>IF(AND(ISBLANK(OHMeter[[#This Row],[Beg Ser]]),ISBLANK(OHMeter[[#This Row],[End Ser]])),"",OHMeter[[#This Row],[End Ser]]-OHMeter[[#This Row],[Beg Ser]]+1)</f>
        <v>720</v>
      </c>
      <c r="I42" s="38">
        <v>44616</v>
      </c>
      <c r="J42" s="38"/>
      <c r="K42" s="57">
        <v>80527484</v>
      </c>
      <c r="L42" s="38">
        <v>45369</v>
      </c>
      <c r="M42" s="40">
        <v>131.24</v>
      </c>
      <c r="N42" s="34" t="s">
        <v>146</v>
      </c>
      <c r="O42" s="35">
        <v>99038746</v>
      </c>
      <c r="P42" s="39" t="s">
        <v>126</v>
      </c>
      <c r="Q42" s="4">
        <f>IF(ISBLANK(OHMeter[[#This Row],[PO Number]]),"",IF(ISBLANK(OHMeter[[#This Row],[Recv Date]]),0,1))</f>
        <v>1</v>
      </c>
      <c r="R42" s="60" t="s">
        <v>118</v>
      </c>
    </row>
    <row r="43" spans="1:18" s="62" customFormat="1" ht="15.6" x14ac:dyDescent="0.3">
      <c r="A43" s="5">
        <f>IF(ISBLANK(OHMeter[[#This Row],[OpCo2]]),"",COUNTA(OHMeter[[#This Row],[OpCo2]])-(COUNTA(OHMeter[[#This Row],[OpCo2]])-ROW(OHMeter[[#This Row],[OpCo2]])+1))</f>
        <v>42</v>
      </c>
      <c r="B43" s="5" t="s">
        <v>17</v>
      </c>
      <c r="C43" s="6" t="s">
        <v>2</v>
      </c>
      <c r="D43" s="6" t="s">
        <v>1</v>
      </c>
      <c r="E43" s="5" t="s">
        <v>62</v>
      </c>
      <c r="F43" s="23">
        <v>913963579</v>
      </c>
      <c r="G43" s="55">
        <v>913973658</v>
      </c>
      <c r="H43" s="4">
        <f>IF(AND(ISBLANK(OHMeter[[#This Row],[Beg Ser]]),ISBLANK(OHMeter[[#This Row],[End Ser]])),"",OHMeter[[#This Row],[End Ser]]-OHMeter[[#This Row],[Beg Ser]]+1)</f>
        <v>10080</v>
      </c>
      <c r="I43" s="7">
        <v>44567</v>
      </c>
      <c r="J43" s="7"/>
      <c r="K43" s="22">
        <v>80459895</v>
      </c>
      <c r="L43" s="7">
        <v>45377</v>
      </c>
      <c r="M43" s="11">
        <v>113.71</v>
      </c>
      <c r="N43" s="6" t="s">
        <v>73</v>
      </c>
      <c r="O43" s="5">
        <v>99038745</v>
      </c>
      <c r="P43" s="29" t="s">
        <v>62</v>
      </c>
      <c r="Q43" s="4">
        <f>IF(ISBLANK(OHMeter[[#This Row],[PO Number]]),"",IF(ISBLANK(OHMeter[[#This Row],[Recv Date]]),0,1))</f>
        <v>1</v>
      </c>
      <c r="R43" s="54" t="s">
        <v>118</v>
      </c>
    </row>
    <row r="44" spans="1:18" s="62" customFormat="1" ht="15.6" x14ac:dyDescent="0.3">
      <c r="A44" s="5">
        <f>IF(ISBLANK(OHMeter[[#This Row],[OpCo2]]),"",COUNTA(OHMeter[[#This Row],[OpCo2]])-(COUNTA(OHMeter[[#This Row],[OpCo2]])-ROW(OHMeter[[#This Row],[OpCo2]])+1))</f>
        <v>43</v>
      </c>
      <c r="B44" s="5" t="s">
        <v>17</v>
      </c>
      <c r="C44" s="6" t="s">
        <v>2</v>
      </c>
      <c r="D44" s="6" t="s">
        <v>1</v>
      </c>
      <c r="E44" s="5" t="s">
        <v>62</v>
      </c>
      <c r="F44" s="23">
        <v>913953499</v>
      </c>
      <c r="G44" s="55">
        <v>913963578</v>
      </c>
      <c r="H44" s="4">
        <f>IF(AND(ISBLANK(OHMeter[[#This Row],[Beg Ser]]),ISBLANK(OHMeter[[#This Row],[End Ser]])),"",OHMeter[[#This Row],[End Ser]]-OHMeter[[#This Row],[Beg Ser]]+1)</f>
        <v>10080</v>
      </c>
      <c r="I44" s="26">
        <v>44567</v>
      </c>
      <c r="J44" s="26"/>
      <c r="K44" s="22">
        <v>80459881</v>
      </c>
      <c r="L44" s="7">
        <v>45377</v>
      </c>
      <c r="M44" s="11">
        <v>113.71</v>
      </c>
      <c r="N44" s="6" t="s">
        <v>73</v>
      </c>
      <c r="O44" s="5">
        <v>99038745</v>
      </c>
      <c r="P44" s="29" t="s">
        <v>62</v>
      </c>
      <c r="Q44" s="4">
        <f>IF(ISBLANK(OHMeter[[#This Row],[PO Number]]),"",IF(ISBLANK(OHMeter[[#This Row],[Recv Date]]),0,1))</f>
        <v>1</v>
      </c>
      <c r="R44" s="54" t="s">
        <v>118</v>
      </c>
    </row>
    <row r="45" spans="1:18" s="62" customFormat="1" ht="15.6" x14ac:dyDescent="0.3">
      <c r="A45" s="5">
        <f>IF(ISBLANK(OHMeter[[#This Row],[OpCo2]]),"",COUNTA(OHMeter[[#This Row],[OpCo2]])-(COUNTA(OHMeter[[#This Row],[OpCo2]])-ROW(OHMeter[[#This Row],[OpCo2]])+1))</f>
        <v>44</v>
      </c>
      <c r="B45" s="5" t="s">
        <v>17</v>
      </c>
      <c r="C45" s="6" t="s">
        <v>2</v>
      </c>
      <c r="D45" s="6" t="s">
        <v>1</v>
      </c>
      <c r="E45" s="5" t="s">
        <v>71</v>
      </c>
      <c r="F45" s="23">
        <v>913980379</v>
      </c>
      <c r="G45" s="55">
        <v>913980738</v>
      </c>
      <c r="H45" s="4">
        <f>IF(AND(ISBLANK(OHMeter[[#This Row],[Beg Ser]]),ISBLANK(OHMeter[[#This Row],[End Ser]])),"",OHMeter[[#This Row],[End Ser]]-OHMeter[[#This Row],[Beg Ser]]+1)</f>
        <v>360</v>
      </c>
      <c r="I45" s="7">
        <v>44616</v>
      </c>
      <c r="J45" s="7"/>
      <c r="K45" s="22">
        <v>80527484</v>
      </c>
      <c r="L45" s="7">
        <v>45377</v>
      </c>
      <c r="M45" s="11">
        <v>160.69</v>
      </c>
      <c r="N45" s="6" t="s">
        <v>72</v>
      </c>
      <c r="O45" s="5">
        <v>99038747</v>
      </c>
      <c r="P45" s="29" t="s">
        <v>71</v>
      </c>
      <c r="Q45" s="4">
        <f>IF(ISBLANK(OHMeter[[#This Row],[PO Number]]),"",IF(ISBLANK(OHMeter[[#This Row],[Recv Date]]),0,1))</f>
        <v>1</v>
      </c>
      <c r="R45" s="54"/>
    </row>
    <row r="46" spans="1:18" s="62" customFormat="1" ht="15.6" x14ac:dyDescent="0.3">
      <c r="A46" s="5">
        <f>IF(ISBLANK(OHMeter[[#This Row],[OpCo2]]),"",COUNTA(OHMeter[[#This Row],[OpCo2]])-(COUNTA(OHMeter[[#This Row],[OpCo2]])-ROW(OHMeter[[#This Row],[OpCo2]])+1))</f>
        <v>45</v>
      </c>
      <c r="B46" s="5" t="s">
        <v>17</v>
      </c>
      <c r="C46" s="6" t="s">
        <v>2</v>
      </c>
      <c r="D46" s="6" t="s">
        <v>1</v>
      </c>
      <c r="E46" s="5" t="s">
        <v>62</v>
      </c>
      <c r="F46" s="23">
        <v>914122042</v>
      </c>
      <c r="G46" s="55">
        <v>914132121</v>
      </c>
      <c r="H46" s="4">
        <f>IF(AND(ISBLANK(OHMeter[[#This Row],[Beg Ser]]),ISBLANK(OHMeter[[#This Row],[End Ser]])),"",OHMeter[[#This Row],[End Ser]]-OHMeter[[#This Row],[Beg Ser]]+1)</f>
        <v>10080</v>
      </c>
      <c r="I46" s="7">
        <v>44567</v>
      </c>
      <c r="J46" s="7"/>
      <c r="K46" s="22">
        <v>80459881</v>
      </c>
      <c r="L46" s="7">
        <v>45390</v>
      </c>
      <c r="M46" s="11">
        <v>113.71</v>
      </c>
      <c r="N46" s="6" t="s">
        <v>73</v>
      </c>
      <c r="O46" s="5">
        <v>99038745</v>
      </c>
      <c r="P46" s="29" t="s">
        <v>62</v>
      </c>
      <c r="Q46" s="4">
        <f>IF(ISBLANK(OHMeter[[#This Row],[PO Number]]),"",IF(ISBLANK(OHMeter[[#This Row],[Recv Date]]),0,1))</f>
        <v>1</v>
      </c>
      <c r="R46" s="54" t="s">
        <v>118</v>
      </c>
    </row>
    <row r="47" spans="1:18" s="62" customFormat="1" ht="15.6" x14ac:dyDescent="0.3">
      <c r="A47" s="5">
        <f>IF(ISBLANK(OHMeter[[#This Row],[OpCo2]]),"",COUNTA(OHMeter[[#This Row],[OpCo2]])-(COUNTA(OHMeter[[#This Row],[OpCo2]])-ROW(OHMeter[[#This Row],[OpCo2]])+1))</f>
        <v>46</v>
      </c>
      <c r="B47" s="5" t="s">
        <v>17</v>
      </c>
      <c r="C47" s="6" t="s">
        <v>2</v>
      </c>
      <c r="D47" s="6" t="s">
        <v>1</v>
      </c>
      <c r="E47" s="5" t="s">
        <v>62</v>
      </c>
      <c r="F47" s="23">
        <v>914132122</v>
      </c>
      <c r="G47" s="55">
        <v>914135721</v>
      </c>
      <c r="H47" s="4">
        <f>IF(AND(ISBLANK(OHMeter[[#This Row],[Beg Ser]]),ISBLANK(OHMeter[[#This Row],[End Ser]])),"",OHMeter[[#This Row],[End Ser]]-OHMeter[[#This Row],[Beg Ser]]+1)</f>
        <v>3600</v>
      </c>
      <c r="I47" s="7">
        <v>44735</v>
      </c>
      <c r="J47" s="7"/>
      <c r="K47" s="22">
        <v>80923322</v>
      </c>
      <c r="L47" s="7">
        <v>45407</v>
      </c>
      <c r="M47" s="11">
        <v>113.71</v>
      </c>
      <c r="N47" s="6" t="s">
        <v>73</v>
      </c>
      <c r="O47" s="5">
        <v>99038745</v>
      </c>
      <c r="P47" s="29" t="s">
        <v>62</v>
      </c>
      <c r="Q47" s="4">
        <f>IF(ISBLANK(OHMeter[[#This Row],[PO Number]]),"",IF(ISBLANK(OHMeter[[#This Row],[Recv Date]]),0,1))</f>
        <v>1</v>
      </c>
      <c r="R47" s="54"/>
    </row>
    <row r="48" spans="1:18" s="62" customFormat="1" ht="15.6" x14ac:dyDescent="0.3">
      <c r="A48" s="5">
        <f>IF(ISBLANK(OHMeter[[#This Row],[OpCo2]]),"",COUNTA(OHMeter[[#This Row],[OpCo2]])-(COUNTA(OHMeter[[#This Row],[OpCo2]])-ROW(OHMeter[[#This Row],[OpCo2]])+1))</f>
        <v>47</v>
      </c>
      <c r="B48" s="5" t="s">
        <v>17</v>
      </c>
      <c r="C48" s="6" t="s">
        <v>2</v>
      </c>
      <c r="D48" s="6" t="s">
        <v>1</v>
      </c>
      <c r="E48" s="5" t="s">
        <v>62</v>
      </c>
      <c r="F48" s="23">
        <v>914135722</v>
      </c>
      <c r="G48" s="55">
        <v>914140521</v>
      </c>
      <c r="H48" s="4">
        <f>IF(AND(ISBLANK(OHMeter[[#This Row],[Beg Ser]]),ISBLANK(OHMeter[[#This Row],[End Ser]])),"",OHMeter[[#This Row],[End Ser]]-OHMeter[[#This Row],[Beg Ser]]+1)</f>
        <v>4800</v>
      </c>
      <c r="I48" s="7">
        <v>44885</v>
      </c>
      <c r="J48" s="7"/>
      <c r="K48" s="22">
        <v>81096986</v>
      </c>
      <c r="L48" s="7">
        <v>45407</v>
      </c>
      <c r="M48" s="11">
        <v>113.71</v>
      </c>
      <c r="N48" s="6" t="s">
        <v>73</v>
      </c>
      <c r="O48" s="5">
        <v>99038745</v>
      </c>
      <c r="P48" s="29" t="s">
        <v>62</v>
      </c>
      <c r="Q48" s="4">
        <f>IF(ISBLANK(OHMeter[[#This Row],[PO Number]]),"",IF(ISBLANK(OHMeter[[#This Row],[Recv Date]]),0,1))</f>
        <v>1</v>
      </c>
      <c r="R48" s="54"/>
    </row>
    <row r="49" spans="1:18" s="62" customFormat="1" ht="15.6" x14ac:dyDescent="0.3">
      <c r="A49" s="5">
        <f>IF(ISBLANK(OHMeter[[#This Row],[OpCo2]]),"",COUNTA(OHMeter[[#This Row],[OpCo2]])-(COUNTA(OHMeter[[#This Row],[OpCo2]])-ROW(OHMeter[[#This Row],[OpCo2]])+1))</f>
        <v>48</v>
      </c>
      <c r="B49" s="5" t="s">
        <v>17</v>
      </c>
      <c r="C49" s="6" t="s">
        <v>2</v>
      </c>
      <c r="D49" s="6" t="s">
        <v>1</v>
      </c>
      <c r="E49" s="5" t="s">
        <v>126</v>
      </c>
      <c r="F49" s="23">
        <v>914146642</v>
      </c>
      <c r="G49" s="55">
        <v>914147361</v>
      </c>
      <c r="H49" s="4">
        <f>IF(AND(ISBLANK(OHMeter[[#This Row],[Beg Ser]]),ISBLANK(OHMeter[[#This Row],[End Ser]])),"",OHMeter[[#This Row],[End Ser]]-OHMeter[[#This Row],[Beg Ser]]+1)</f>
        <v>720</v>
      </c>
      <c r="I49" s="7">
        <v>44572</v>
      </c>
      <c r="J49" s="7"/>
      <c r="K49" s="22">
        <v>80461497</v>
      </c>
      <c r="L49" s="7">
        <v>45407</v>
      </c>
      <c r="M49" s="11">
        <v>131.24</v>
      </c>
      <c r="N49" s="6" t="s">
        <v>146</v>
      </c>
      <c r="O49" s="5">
        <v>99038746</v>
      </c>
      <c r="P49" s="29" t="s">
        <v>126</v>
      </c>
      <c r="Q49" s="4">
        <f>IF(ISBLANK(OHMeter[[#This Row],[PO Number]]),"",IF(ISBLANK(OHMeter[[#This Row],[Recv Date]]),0,1))</f>
        <v>1</v>
      </c>
      <c r="R49" s="54"/>
    </row>
    <row r="50" spans="1:18" s="62" customFormat="1" ht="15.6" x14ac:dyDescent="0.3">
      <c r="A50" s="5">
        <f>IF(ISBLANK(OHMeter[[#This Row],[OpCo2]]),"",COUNTA(OHMeter[[#This Row],[OpCo2]])-(COUNTA(OHMeter[[#This Row],[OpCo2]])-ROW(OHMeter[[#This Row],[OpCo2]])+1))</f>
        <v>49</v>
      </c>
      <c r="B50" s="5" t="s">
        <v>17</v>
      </c>
      <c r="C50" s="6" t="s">
        <v>2</v>
      </c>
      <c r="D50" s="6" t="s">
        <v>1</v>
      </c>
      <c r="E50" s="5" t="s">
        <v>122</v>
      </c>
      <c r="F50" s="23">
        <v>914146522</v>
      </c>
      <c r="G50" s="55">
        <v>914146641</v>
      </c>
      <c r="H50" s="4">
        <f>IF(AND(ISBLANK(OHMeter[[#This Row],[Beg Ser]]),ISBLANK(OHMeter[[#This Row],[End Ser]])),"",OHMeter[[#This Row],[End Ser]]-OHMeter[[#This Row],[Beg Ser]]+1)</f>
        <v>120</v>
      </c>
      <c r="I50" s="7">
        <v>44572</v>
      </c>
      <c r="J50" s="7"/>
      <c r="K50" s="22">
        <v>80527484</v>
      </c>
      <c r="L50" s="7">
        <v>45407</v>
      </c>
      <c r="M50" s="11">
        <v>165.73</v>
      </c>
      <c r="N50" s="6" t="s">
        <v>123</v>
      </c>
      <c r="O50" s="5">
        <v>99038726</v>
      </c>
      <c r="P50" s="29" t="s">
        <v>122</v>
      </c>
      <c r="Q50" s="4">
        <f>IF(ISBLANK(OHMeter[[#This Row],[PO Number]]),"",IF(ISBLANK(OHMeter[[#This Row],[Recv Date]]),0,1))</f>
        <v>1</v>
      </c>
      <c r="R50" s="54"/>
    </row>
    <row r="51" spans="1:18" s="62" customFormat="1" ht="15.6" x14ac:dyDescent="0.3">
      <c r="A51" s="5">
        <f>IF(ISBLANK(OHMeter[[#This Row],[OpCo2]]),"",COUNTA(OHMeter[[#This Row],[OpCo2]])-(COUNTA(OHMeter[[#This Row],[OpCo2]])-ROW(OHMeter[[#This Row],[OpCo2]])+1))</f>
        <v>50</v>
      </c>
      <c r="B51" s="5" t="s">
        <v>17</v>
      </c>
      <c r="C51" s="6" t="s">
        <v>2</v>
      </c>
      <c r="D51" s="6" t="s">
        <v>1</v>
      </c>
      <c r="E51" s="5" t="s">
        <v>62</v>
      </c>
      <c r="F51" s="23">
        <v>914111962</v>
      </c>
      <c r="G51" s="55">
        <v>914122041</v>
      </c>
      <c r="H51" s="4">
        <f>IF(AND(ISBLANK(OHMeter[[#This Row],[Beg Ser]]),ISBLANK(OHMeter[[#This Row],[End Ser]])),"",OHMeter[[#This Row],[End Ser]]-OHMeter[[#This Row],[Beg Ser]]+1)</f>
        <v>10080</v>
      </c>
      <c r="I51" s="7">
        <v>44572</v>
      </c>
      <c r="J51" s="7"/>
      <c r="K51" s="22">
        <v>80527484</v>
      </c>
      <c r="L51" s="7">
        <v>45407</v>
      </c>
      <c r="M51" s="11">
        <v>113.71</v>
      </c>
      <c r="N51" s="6" t="s">
        <v>73</v>
      </c>
      <c r="O51" s="5">
        <v>99038745</v>
      </c>
      <c r="P51" s="29" t="s">
        <v>62</v>
      </c>
      <c r="Q51" s="4">
        <f>IF(ISBLANK(OHMeter[[#This Row],[PO Number]]),"",IF(ISBLANK(OHMeter[[#This Row],[Recv Date]]),0,1))</f>
        <v>1</v>
      </c>
      <c r="R51" s="54"/>
    </row>
    <row r="52" spans="1:18" s="62" customFormat="1" ht="15.6" x14ac:dyDescent="0.3">
      <c r="A52" s="5">
        <f>IF(ISBLANK(OHMeter[[#This Row],[OpCo2]]),"",COUNTA(OHMeter[[#This Row],[OpCo2]])-(COUNTA(OHMeter[[#This Row],[OpCo2]])-ROW(OHMeter[[#This Row],[OpCo2]])+1))</f>
        <v>51</v>
      </c>
      <c r="B52" s="5" t="s">
        <v>17</v>
      </c>
      <c r="C52" s="6" t="s">
        <v>2</v>
      </c>
      <c r="D52" s="6" t="s">
        <v>1</v>
      </c>
      <c r="E52" s="5" t="s">
        <v>62</v>
      </c>
      <c r="F52" s="23">
        <v>914548998</v>
      </c>
      <c r="G52" s="55">
        <v>914559077</v>
      </c>
      <c r="H52" s="4">
        <f>IF(AND(ISBLANK(OHMeter[[#This Row],[Beg Ser]]),ISBLANK(OHMeter[[#This Row],[End Ser]])),"",OHMeter[[#This Row],[End Ser]]-OHMeter[[#This Row],[Beg Ser]]+1)</f>
        <v>10080</v>
      </c>
      <c r="I52" s="7">
        <v>44613</v>
      </c>
      <c r="J52" s="7"/>
      <c r="K52" s="22">
        <v>80520530</v>
      </c>
      <c r="L52" s="7">
        <v>45411</v>
      </c>
      <c r="M52" s="11">
        <v>113.71</v>
      </c>
      <c r="N52" s="6" t="s">
        <v>73</v>
      </c>
      <c r="O52" s="5">
        <v>99038745</v>
      </c>
      <c r="P52" s="29" t="s">
        <v>62</v>
      </c>
      <c r="Q52" s="4">
        <f>IF(ISBLANK(OHMeter[[#This Row],[PO Number]]),"",IF(ISBLANK(OHMeter[[#This Row],[Recv Date]]),0,1))</f>
        <v>1</v>
      </c>
      <c r="R52" s="54"/>
    </row>
    <row r="53" spans="1:18" s="62" customFormat="1" ht="15.6" x14ac:dyDescent="0.3">
      <c r="A53" s="5">
        <f>IF(ISBLANK(OHMeter[[#This Row],[OpCo2]]),"",COUNTA(OHMeter[[#This Row],[OpCo2]])-(COUNTA(OHMeter[[#This Row],[OpCo2]])-ROW(OHMeter[[#This Row],[OpCo2]])+1))</f>
        <v>52</v>
      </c>
      <c r="B53" s="5" t="s">
        <v>17</v>
      </c>
      <c r="C53" s="6" t="s">
        <v>2</v>
      </c>
      <c r="D53" s="6" t="s">
        <v>1</v>
      </c>
      <c r="E53" s="5" t="s">
        <v>71</v>
      </c>
      <c r="F53" s="23">
        <v>914158357</v>
      </c>
      <c r="G53" s="55">
        <v>914159076</v>
      </c>
      <c r="H53" s="4">
        <f>IF(AND(ISBLANK(OHMeter[[#This Row],[Beg Ser]]),ISBLANK(OHMeter[[#This Row],[End Ser]])),"",OHMeter[[#This Row],[End Ser]]-OHMeter[[#This Row],[Beg Ser]]+1)</f>
        <v>720</v>
      </c>
      <c r="I53" s="7">
        <v>44885</v>
      </c>
      <c r="J53" s="7"/>
      <c r="K53" s="22">
        <v>81096986</v>
      </c>
      <c r="L53" s="7">
        <v>45412</v>
      </c>
      <c r="M53" s="11">
        <v>160.69</v>
      </c>
      <c r="N53" s="6" t="s">
        <v>72</v>
      </c>
      <c r="O53" s="5">
        <v>99038747</v>
      </c>
      <c r="P53" s="29" t="s">
        <v>71</v>
      </c>
      <c r="Q53" s="4">
        <f>IF(ISBLANK(OHMeter[[#This Row],[PO Number]]),"",IF(ISBLANK(OHMeter[[#This Row],[Recv Date]]),0,1))</f>
        <v>1</v>
      </c>
      <c r="R53" s="54"/>
    </row>
    <row r="54" spans="1:18" s="62" customFormat="1" ht="15.6" x14ac:dyDescent="0.3">
      <c r="A54" s="5">
        <f>IF(ISBLANK(OHMeter[[#This Row],[OpCo2]]),"",COUNTA(OHMeter[[#This Row],[OpCo2]])-(COUNTA(OHMeter[[#This Row],[OpCo2]])-ROW(OHMeter[[#This Row],[OpCo2]])+1))</f>
        <v>53</v>
      </c>
      <c r="B54" s="5" t="s">
        <v>17</v>
      </c>
      <c r="C54" s="6" t="s">
        <v>2</v>
      </c>
      <c r="D54" s="6" t="s">
        <v>1</v>
      </c>
      <c r="E54" s="5" t="s">
        <v>62</v>
      </c>
      <c r="F54" s="23">
        <v>921018985</v>
      </c>
      <c r="G54" s="55">
        <v>921020184</v>
      </c>
      <c r="H54" s="5">
        <f>IF(AND(ISBLANK(OHMeter[[#This Row],[Beg Ser]]),ISBLANK(OHMeter[[#This Row],[End Ser]])),"",OHMeter[[#This Row],[End Ser]]-OHMeter[[#This Row],[Beg Ser]]+1)</f>
        <v>1200</v>
      </c>
      <c r="I54" s="7">
        <v>44824</v>
      </c>
      <c r="J54" s="7"/>
      <c r="K54" s="22">
        <v>81065404</v>
      </c>
      <c r="L54" s="7">
        <v>45425</v>
      </c>
      <c r="M54" s="11">
        <v>113.71</v>
      </c>
      <c r="N54" s="6" t="s">
        <v>73</v>
      </c>
      <c r="O54" s="5">
        <v>99038745</v>
      </c>
      <c r="P54" s="29" t="s">
        <v>62</v>
      </c>
      <c r="Q54" s="4">
        <f>IF(ISBLANK(OHMeter[[#This Row],[PO Number]]),"",IF(ISBLANK(OHMeter[[#This Row],[Recv Date]]),0,1))</f>
        <v>1</v>
      </c>
      <c r="R54" s="54"/>
    </row>
    <row r="55" spans="1:18" ht="15.6" x14ac:dyDescent="0.3">
      <c r="A55" s="5">
        <f>IF(ISBLANK(OHMeter[[#This Row],[OpCo2]]),"",COUNTA(OHMeter[[#This Row],[OpCo2]])-(COUNTA(OHMeter[[#This Row],[OpCo2]])-ROW(OHMeter[[#This Row],[OpCo2]])+1))</f>
        <v>54</v>
      </c>
      <c r="B55" s="5" t="s">
        <v>17</v>
      </c>
      <c r="C55" s="6" t="s">
        <v>2</v>
      </c>
      <c r="D55" s="6" t="s">
        <v>1</v>
      </c>
      <c r="E55" s="31" t="s">
        <v>71</v>
      </c>
      <c r="F55" s="23">
        <v>921033109</v>
      </c>
      <c r="G55" s="55">
        <v>921033348</v>
      </c>
      <c r="H55" s="5">
        <f>IF(AND(ISBLANK(OHMeter[[#This Row],[Beg Ser]]),ISBLANK(OHMeter[[#This Row],[End Ser]])),"",OHMeter[[#This Row],[End Ser]]-OHMeter[[#This Row],[Beg Ser]]+1)</f>
        <v>240</v>
      </c>
      <c r="I55" s="7">
        <v>44824</v>
      </c>
      <c r="J55" s="7"/>
      <c r="K55" s="22">
        <v>81065404</v>
      </c>
      <c r="L55" s="7">
        <v>45425</v>
      </c>
      <c r="M55" s="11">
        <v>160.69</v>
      </c>
      <c r="N55" s="6" t="s">
        <v>72</v>
      </c>
      <c r="O55" s="5">
        <v>99038747</v>
      </c>
      <c r="P55" s="29" t="s">
        <v>71</v>
      </c>
      <c r="Q55" s="4">
        <f>IF(ISBLANK(OHMeter[[#This Row],[PO Number]]),"",IF(ISBLANK(OHMeter[[#This Row],[Recv Date]]),0,1))</f>
        <v>1</v>
      </c>
      <c r="R55" s="54"/>
    </row>
    <row r="56" spans="1:18" ht="15.6" x14ac:dyDescent="0.3">
      <c r="A56" s="5">
        <f>IF(ISBLANK(OHMeter[[#This Row],[OpCo2]]),"",COUNTA(OHMeter[[#This Row],[OpCo2]])-(COUNTA(OHMeter[[#This Row],[OpCo2]])-ROW(OHMeter[[#This Row],[OpCo2]])+1))</f>
        <v>55</v>
      </c>
      <c r="B56" s="5" t="s">
        <v>17</v>
      </c>
      <c r="C56" s="6" t="s">
        <v>2</v>
      </c>
      <c r="D56" s="6" t="s">
        <v>1</v>
      </c>
      <c r="E56" s="31" t="s">
        <v>71</v>
      </c>
      <c r="F56" s="23">
        <v>921000001</v>
      </c>
      <c r="G56" s="55">
        <v>921000240</v>
      </c>
      <c r="H56" s="5">
        <f>IF(AND(ISBLANK(OHMeter[[#This Row],[Beg Ser]]),ISBLANK(OHMeter[[#This Row],[End Ser]])),"",OHMeter[[#This Row],[End Ser]]-OHMeter[[#This Row],[Beg Ser]]+1)</f>
        <v>240</v>
      </c>
      <c r="I56" s="7">
        <v>44735</v>
      </c>
      <c r="J56" s="7"/>
      <c r="K56" s="22">
        <v>80923322</v>
      </c>
      <c r="L56" s="7">
        <v>45425</v>
      </c>
      <c r="M56" s="11">
        <v>160.69</v>
      </c>
      <c r="N56" s="6" t="s">
        <v>72</v>
      </c>
      <c r="O56" s="5">
        <v>99038747</v>
      </c>
      <c r="P56" s="29" t="s">
        <v>71</v>
      </c>
      <c r="Q56" s="4">
        <f>IF(ISBLANK(OHMeter[[#This Row],[PO Number]]),"",IF(ISBLANK(OHMeter[[#This Row],[Recv Date]]),0,1))</f>
        <v>1</v>
      </c>
      <c r="R56" s="54"/>
    </row>
    <row r="57" spans="1:18" ht="15.6" x14ac:dyDescent="0.3">
      <c r="A57" s="5">
        <f>IF(ISBLANK(OHMeter[[#This Row],[OpCo2]]),"",COUNTA(OHMeter[[#This Row],[OpCo2]])-(COUNTA(OHMeter[[#This Row],[OpCo2]])-ROW(OHMeter[[#This Row],[OpCo2]])+1))</f>
        <v>56</v>
      </c>
      <c r="B57" s="5" t="s">
        <v>17</v>
      </c>
      <c r="C57" s="6" t="s">
        <v>2</v>
      </c>
      <c r="D57" s="6" t="s">
        <v>1</v>
      </c>
      <c r="E57" s="31" t="s">
        <v>85</v>
      </c>
      <c r="F57" s="23">
        <v>614546037</v>
      </c>
      <c r="G57" s="55">
        <v>614546996</v>
      </c>
      <c r="H57" s="5">
        <f>IF(AND(ISBLANK(OHMeter[[#This Row],[Beg Ser]]),ISBLANK(OHMeter[[#This Row],[End Ser]])),"",OHMeter[[#This Row],[End Ser]]-OHMeter[[#This Row],[Beg Ser]]+1)</f>
        <v>960</v>
      </c>
      <c r="I57" s="7">
        <v>44616</v>
      </c>
      <c r="J57" s="7"/>
      <c r="K57" s="22">
        <v>80527484</v>
      </c>
      <c r="L57" s="7">
        <v>45436</v>
      </c>
      <c r="M57" s="11">
        <v>215.16</v>
      </c>
      <c r="N57" s="6" t="s">
        <v>87</v>
      </c>
      <c r="O57" s="5">
        <v>99114972</v>
      </c>
      <c r="P57" s="29" t="s">
        <v>85</v>
      </c>
      <c r="Q57" s="4">
        <f>IF(ISBLANK(OHMeter[[#This Row],[PO Number]]),"",IF(ISBLANK(OHMeter[[#This Row],[Recv Date]]),0,1))</f>
        <v>1</v>
      </c>
      <c r="R57" s="54"/>
    </row>
    <row r="58" spans="1:18" ht="15.6" x14ac:dyDescent="0.3">
      <c r="A58" s="5">
        <f>IF(ISBLANK(OHMeter[[#This Row],[OpCo2]]),"",COUNTA(OHMeter[[#This Row],[OpCo2]])-(COUNTA(OHMeter[[#This Row],[OpCo2]])-ROW(OHMeter[[#This Row],[OpCo2]])+1))</f>
        <v>57</v>
      </c>
      <c r="B58" s="5" t="s">
        <v>17</v>
      </c>
      <c r="C58" s="6" t="s">
        <v>2</v>
      </c>
      <c r="D58" s="6" t="s">
        <v>1</v>
      </c>
      <c r="E58" s="31" t="s">
        <v>137</v>
      </c>
      <c r="F58" s="23">
        <v>621034093</v>
      </c>
      <c r="G58" s="55">
        <v>621034188</v>
      </c>
      <c r="H58" s="5">
        <f>IF(AND(ISBLANK(OHMeter[[#This Row],[Beg Ser]]),ISBLANK(OHMeter[[#This Row],[End Ser]])),"",OHMeter[[#This Row],[End Ser]]-OHMeter[[#This Row],[Beg Ser]]+1)</f>
        <v>96</v>
      </c>
      <c r="I58" s="7">
        <v>44616</v>
      </c>
      <c r="J58" s="7"/>
      <c r="K58" s="22">
        <v>80527483</v>
      </c>
      <c r="L58" s="7">
        <v>45436</v>
      </c>
      <c r="M58" s="11">
        <v>215.16</v>
      </c>
      <c r="N58" s="6" t="s">
        <v>138</v>
      </c>
      <c r="O58" s="5">
        <v>99114976</v>
      </c>
      <c r="P58" s="29" t="s">
        <v>137</v>
      </c>
      <c r="Q58" s="4">
        <f>IF(ISBLANK(OHMeter[[#This Row],[PO Number]]),"",IF(ISBLANK(OHMeter[[#This Row],[Recv Date]]),0,1))</f>
        <v>1</v>
      </c>
      <c r="R58" s="54"/>
    </row>
    <row r="59" spans="1:18" ht="15.6" x14ac:dyDescent="0.3">
      <c r="A59" s="5">
        <f>IF(ISBLANK(OHMeter[[#This Row],[OpCo2]]),"",COUNTA(OHMeter[[#This Row],[OpCo2]])-(COUNTA(OHMeter[[#This Row],[OpCo2]])-ROW(OHMeter[[#This Row],[OpCo2]])+1))</f>
        <v>58</v>
      </c>
      <c r="B59" s="5" t="s">
        <v>17</v>
      </c>
      <c r="C59" s="6" t="s">
        <v>2</v>
      </c>
      <c r="D59" s="6" t="s">
        <v>1</v>
      </c>
      <c r="E59" s="31" t="s">
        <v>85</v>
      </c>
      <c r="F59" s="23">
        <v>621034189</v>
      </c>
      <c r="G59" s="55">
        <v>621034284</v>
      </c>
      <c r="H59" s="5">
        <f>IF(AND(ISBLANK(OHMeter[[#This Row],[Beg Ser]]),ISBLANK(OHMeter[[#This Row],[End Ser]])),"",OHMeter[[#This Row],[End Ser]]-OHMeter[[#This Row],[Beg Ser]]+1)</f>
        <v>96</v>
      </c>
      <c r="I59" s="7">
        <v>45295</v>
      </c>
      <c r="J59" s="7"/>
      <c r="K59" s="22">
        <v>81267745</v>
      </c>
      <c r="L59" s="7">
        <v>45436</v>
      </c>
      <c r="M59" s="11">
        <v>215.16</v>
      </c>
      <c r="N59" s="6" t="s">
        <v>87</v>
      </c>
      <c r="O59" s="5">
        <v>99114972</v>
      </c>
      <c r="P59" s="29" t="s">
        <v>85</v>
      </c>
      <c r="Q59" s="4">
        <f>IF(ISBLANK(OHMeter[[#This Row],[PO Number]]),"",IF(ISBLANK(OHMeter[[#This Row],[Recv Date]]),0,1))</f>
        <v>1</v>
      </c>
      <c r="R59" s="54"/>
    </row>
    <row r="60" spans="1:18" ht="15.6" x14ac:dyDescent="0.3">
      <c r="A60" s="5">
        <f>IF(ISBLANK(OHMeter[[#This Row],[OpCo2]]),"",COUNTA(OHMeter[[#This Row],[OpCo2]])-(COUNTA(OHMeter[[#This Row],[OpCo2]])-ROW(OHMeter[[#This Row],[OpCo2]])+1))</f>
        <v>59</v>
      </c>
      <c r="B60" s="5" t="s">
        <v>17</v>
      </c>
      <c r="C60" s="6" t="s">
        <v>2</v>
      </c>
      <c r="D60" s="6" t="s">
        <v>1</v>
      </c>
      <c r="E60" s="31" t="s">
        <v>0</v>
      </c>
      <c r="F60" s="23">
        <v>621034285</v>
      </c>
      <c r="G60" s="55">
        <v>621034572</v>
      </c>
      <c r="H60" s="5">
        <f>IF(AND(ISBLANK(OHMeter[[#This Row],[Beg Ser]]),ISBLANK(OHMeter[[#This Row],[End Ser]])),"",OHMeter[[#This Row],[End Ser]]-OHMeter[[#This Row],[Beg Ser]]+1)</f>
        <v>288</v>
      </c>
      <c r="I60" s="7">
        <v>45295</v>
      </c>
      <c r="J60" s="7"/>
      <c r="K60" s="22">
        <v>81267745</v>
      </c>
      <c r="L60" s="7">
        <v>45436</v>
      </c>
      <c r="M60" s="11">
        <v>215.16</v>
      </c>
      <c r="N60" s="6" t="s">
        <v>95</v>
      </c>
      <c r="O60" s="5">
        <v>99114973</v>
      </c>
      <c r="P60" s="29" t="s">
        <v>0</v>
      </c>
      <c r="Q60" s="4">
        <f>IF(ISBLANK(OHMeter[[#This Row],[PO Number]]),"",IF(ISBLANK(OHMeter[[#This Row],[Recv Date]]),0,1))</f>
        <v>1</v>
      </c>
      <c r="R60" s="54"/>
    </row>
    <row r="61" spans="1:18" ht="15.6" x14ac:dyDescent="0.3">
      <c r="A61" s="5">
        <f>IF(ISBLANK(OHMeter[[#This Row],[OpCo2]]),"",COUNTA(OHMeter[[#This Row],[OpCo2]])-(COUNTA(OHMeter[[#This Row],[OpCo2]])-ROW(OHMeter[[#This Row],[OpCo2]])+1))</f>
        <v>60</v>
      </c>
      <c r="B61" s="5" t="s">
        <v>17</v>
      </c>
      <c r="C61" s="6" t="s">
        <v>2</v>
      </c>
      <c r="D61" s="6" t="s">
        <v>1</v>
      </c>
      <c r="E61" s="31" t="s">
        <v>0</v>
      </c>
      <c r="F61" s="23">
        <v>621000241</v>
      </c>
      <c r="G61" s="55">
        <v>621001200</v>
      </c>
      <c r="H61" s="5">
        <f>IF(AND(ISBLANK(OHMeter[[#This Row],[Beg Ser]]),ISBLANK(OHMeter[[#This Row],[End Ser]])),"",OHMeter[[#This Row],[End Ser]]-OHMeter[[#This Row],[Beg Ser]]+1)</f>
        <v>960</v>
      </c>
      <c r="I61" s="7">
        <v>44616</v>
      </c>
      <c r="J61" s="7"/>
      <c r="K61" s="22">
        <v>80527484</v>
      </c>
      <c r="L61" s="7">
        <v>45436</v>
      </c>
      <c r="M61" s="11">
        <v>215.16</v>
      </c>
      <c r="N61" s="6" t="s">
        <v>95</v>
      </c>
      <c r="O61" s="5">
        <v>99114973</v>
      </c>
      <c r="P61" s="29" t="s">
        <v>0</v>
      </c>
      <c r="Q61" s="4">
        <f>IF(ISBLANK(OHMeter[[#This Row],[PO Number]]),"",IF(ISBLANK(OHMeter[[#This Row],[Recv Date]]),0,1))</f>
        <v>1</v>
      </c>
      <c r="R61" s="54"/>
    </row>
    <row r="62" spans="1:18" ht="15.6" x14ac:dyDescent="0.3">
      <c r="A62" s="5">
        <f>IF(ISBLANK(OHMeter[[#This Row],[OpCo2]]),"",COUNTA(OHMeter[[#This Row],[OpCo2]])-(COUNTA(OHMeter[[#This Row],[OpCo2]])-ROW(OHMeter[[#This Row],[OpCo2]])+1))</f>
        <v>61</v>
      </c>
      <c r="B62" s="5" t="s">
        <v>17</v>
      </c>
      <c r="C62" s="6" t="s">
        <v>2</v>
      </c>
      <c r="D62" s="6" t="s">
        <v>1</v>
      </c>
      <c r="E62" s="31" t="s">
        <v>62</v>
      </c>
      <c r="F62" s="23">
        <v>914374535</v>
      </c>
      <c r="G62" s="55">
        <v>914384614</v>
      </c>
      <c r="H62" s="5">
        <f>IF(AND(ISBLANK(OHMeter[[#This Row],[Beg Ser]]),ISBLANK(OHMeter[[#This Row],[End Ser]])),"",OHMeter[[#This Row],[End Ser]]-OHMeter[[#This Row],[Beg Ser]]+1)</f>
        <v>10080</v>
      </c>
      <c r="I62" s="7">
        <v>44572</v>
      </c>
      <c r="J62" s="7"/>
      <c r="K62" s="22">
        <v>80527484</v>
      </c>
      <c r="L62" s="7">
        <v>45407</v>
      </c>
      <c r="M62" s="11">
        <v>113.71</v>
      </c>
      <c r="N62" s="6" t="s">
        <v>73</v>
      </c>
      <c r="O62" s="5">
        <v>99038745</v>
      </c>
      <c r="P62" s="29" t="s">
        <v>62</v>
      </c>
      <c r="Q62" s="4">
        <f>IF(ISBLANK(OHMeter[[#This Row],[PO Number]]),"",IF(ISBLANK(OHMeter[[#This Row],[Recv Date]]),0,1))</f>
        <v>1</v>
      </c>
      <c r="R62" s="54"/>
    </row>
    <row r="63" spans="1:18" ht="15.6" x14ac:dyDescent="0.3">
      <c r="A63" s="5">
        <f>IF(ISBLANK(OHMeter[[#This Row],[OpCo2]]),"",COUNTA(OHMeter[[#This Row],[OpCo2]])-(COUNTA(OHMeter[[#This Row],[OpCo2]])-ROW(OHMeter[[#This Row],[OpCo2]])+1))</f>
        <v>62</v>
      </c>
      <c r="B63" s="5" t="s">
        <v>17</v>
      </c>
      <c r="C63" s="6" t="s">
        <v>2</v>
      </c>
      <c r="D63" s="6" t="s">
        <v>1</v>
      </c>
      <c r="E63" s="31" t="s">
        <v>126</v>
      </c>
      <c r="F63" s="23">
        <v>921159583</v>
      </c>
      <c r="G63" s="55">
        <v>921160302</v>
      </c>
      <c r="H63" s="5">
        <f>IF(AND(ISBLANK(OHMeter[[#This Row],[Beg Ser]]),ISBLANK(OHMeter[[#This Row],[End Ser]])),"",OHMeter[[#This Row],[End Ser]]-OHMeter[[#This Row],[Beg Ser]]+1)</f>
        <v>720</v>
      </c>
      <c r="I63" s="7">
        <v>44614</v>
      </c>
      <c r="J63" s="7"/>
      <c r="K63" s="22">
        <v>80522644</v>
      </c>
      <c r="L63" s="7">
        <v>45455</v>
      </c>
      <c r="M63" s="11">
        <v>131.24</v>
      </c>
      <c r="N63" s="6" t="s">
        <v>146</v>
      </c>
      <c r="O63" s="5">
        <v>99038746</v>
      </c>
      <c r="P63" s="29" t="s">
        <v>126</v>
      </c>
      <c r="Q63" s="4">
        <f>IF(ISBLANK(OHMeter[[#This Row],[PO Number]]),"",IF(ISBLANK(OHMeter[[#This Row],[Recv Date]]),0,1))</f>
        <v>1</v>
      </c>
      <c r="R63" s="54"/>
    </row>
    <row r="64" spans="1:18" ht="15.6" x14ac:dyDescent="0.3">
      <c r="A64" s="5">
        <f>IF(ISBLANK(OHMeter[[#This Row],[OpCo2]]),"",COUNTA(OHMeter[[#This Row],[OpCo2]])-(COUNTA(OHMeter[[#This Row],[OpCo2]])-ROW(OHMeter[[#This Row],[OpCo2]])+1))</f>
        <v>63</v>
      </c>
      <c r="B64" s="5" t="s">
        <v>17</v>
      </c>
      <c r="C64" s="6" t="s">
        <v>2</v>
      </c>
      <c r="D64" s="6" t="s">
        <v>1</v>
      </c>
      <c r="E64" s="31" t="s">
        <v>71</v>
      </c>
      <c r="F64" s="23">
        <v>921033349</v>
      </c>
      <c r="G64" s="55">
        <v>921033588</v>
      </c>
      <c r="H64" s="5">
        <f>IF(AND(ISBLANK(OHMeter[[#This Row],[Beg Ser]]),ISBLANK(OHMeter[[#This Row],[End Ser]])),"",OHMeter[[#This Row],[End Ser]]-OHMeter[[#This Row],[Beg Ser]]+1)</f>
        <v>240</v>
      </c>
      <c r="I64" s="7">
        <v>45295</v>
      </c>
      <c r="J64" s="7"/>
      <c r="K64" s="22">
        <v>81267745</v>
      </c>
      <c r="L64" s="7">
        <v>45461</v>
      </c>
      <c r="M64" s="11">
        <v>160.69</v>
      </c>
      <c r="N64" s="6" t="s">
        <v>72</v>
      </c>
      <c r="O64" s="5">
        <v>99038747</v>
      </c>
      <c r="P64" s="29" t="s">
        <v>71</v>
      </c>
      <c r="Q64" s="4">
        <f>IF(ISBLANK(OHMeter[[#This Row],[PO Number]]),"",IF(ISBLANK(OHMeter[[#This Row],[Recv Date]]),0,1))</f>
        <v>1</v>
      </c>
      <c r="R64" s="54"/>
    </row>
    <row r="65" spans="1:18" ht="15.6" x14ac:dyDescent="0.3">
      <c r="A65" s="5">
        <f>IF(ISBLANK(OHMeter[[#This Row],[OpCo2]]),"",COUNTA(OHMeter[[#This Row],[OpCo2]])-(COUNTA(OHMeter[[#This Row],[OpCo2]])-ROW(OHMeter[[#This Row],[OpCo2]])+1))</f>
        <v>64</v>
      </c>
      <c r="B65" s="5" t="s">
        <v>17</v>
      </c>
      <c r="C65" s="6" t="s">
        <v>2</v>
      </c>
      <c r="D65" s="6" t="s">
        <v>1</v>
      </c>
      <c r="E65" s="31" t="s">
        <v>62</v>
      </c>
      <c r="F65" s="23">
        <v>921122943</v>
      </c>
      <c r="G65" s="55">
        <v>921123182</v>
      </c>
      <c r="H65" s="5">
        <f>IF(AND(ISBLANK(OHMeter[[#This Row],[Beg Ser]]),ISBLANK(OHMeter[[#This Row],[End Ser]])),"",OHMeter[[#This Row],[End Ser]]-OHMeter[[#This Row],[Beg Ser]]+1)</f>
        <v>240</v>
      </c>
      <c r="I65" s="7">
        <v>45295</v>
      </c>
      <c r="J65" s="7"/>
      <c r="K65" s="22">
        <v>81267745</v>
      </c>
      <c r="L65" s="7">
        <v>45461</v>
      </c>
      <c r="M65" s="11">
        <v>115.6</v>
      </c>
      <c r="N65" s="6" t="s">
        <v>121</v>
      </c>
      <c r="O65" s="5">
        <v>99038751</v>
      </c>
      <c r="P65" s="29" t="s">
        <v>62</v>
      </c>
      <c r="Q65" s="4">
        <f>IF(ISBLANK(OHMeter[[#This Row],[PO Number]]),"",IF(ISBLANK(OHMeter[[#This Row],[Recv Date]]),0,1))</f>
        <v>1</v>
      </c>
      <c r="R65" s="54" t="s">
        <v>156</v>
      </c>
    </row>
    <row r="66" spans="1:18" ht="15.6" x14ac:dyDescent="0.3">
      <c r="A66" s="5">
        <f>IF(ISBLANK(OHMeter[[#This Row],[OpCo2]]),"",COUNTA(OHMeter[[#This Row],[OpCo2]])-(COUNTA(OHMeter[[#This Row],[OpCo2]])-ROW(OHMeter[[#This Row],[OpCo2]])+1))</f>
        <v>65</v>
      </c>
      <c r="B66" s="5" t="s">
        <v>17</v>
      </c>
      <c r="C66" s="6" t="s">
        <v>2</v>
      </c>
      <c r="D66" s="6" t="s">
        <v>1</v>
      </c>
      <c r="E66" s="31" t="s">
        <v>62</v>
      </c>
      <c r="F66" s="23">
        <v>921133263</v>
      </c>
      <c r="G66" s="55">
        <v>921135422</v>
      </c>
      <c r="H66" s="5">
        <f>IF(AND(ISBLANK(OHMeter[[#This Row],[Beg Ser]]),ISBLANK(OHMeter[[#This Row],[End Ser]])),"",OHMeter[[#This Row],[End Ser]]-OHMeter[[#This Row],[Beg Ser]]+1)</f>
        <v>2160</v>
      </c>
      <c r="I66" s="7">
        <v>44994</v>
      </c>
      <c r="J66" s="7"/>
      <c r="K66" s="22">
        <v>81146334</v>
      </c>
      <c r="L66" s="7">
        <v>45456</v>
      </c>
      <c r="M66" s="11">
        <v>113.71</v>
      </c>
      <c r="N66" s="6" t="s">
        <v>73</v>
      </c>
      <c r="O66" s="5">
        <v>99038745</v>
      </c>
      <c r="P66" s="29" t="s">
        <v>62</v>
      </c>
      <c r="Q66" s="4">
        <f>IF(ISBLANK(OHMeter[[#This Row],[PO Number]]),"",IF(ISBLANK(OHMeter[[#This Row],[Recv Date]]),0,1))</f>
        <v>1</v>
      </c>
      <c r="R66" s="54"/>
    </row>
    <row r="67" spans="1:18" ht="15.6" x14ac:dyDescent="0.3">
      <c r="A67" s="5">
        <f>IF(ISBLANK(OHMeter[[#This Row],[OpCo2]]),"",COUNTA(OHMeter[[#This Row],[OpCo2]])-(COUNTA(OHMeter[[#This Row],[OpCo2]])-ROW(OHMeter[[#This Row],[OpCo2]])+1))</f>
        <v>66</v>
      </c>
      <c r="B67" s="5" t="s">
        <v>17</v>
      </c>
      <c r="C67" s="6" t="s">
        <v>2</v>
      </c>
      <c r="D67" s="6" t="s">
        <v>1</v>
      </c>
      <c r="E67" s="31" t="s">
        <v>62</v>
      </c>
      <c r="F67" s="23">
        <v>921135423</v>
      </c>
      <c r="G67" s="55">
        <v>921137582</v>
      </c>
      <c r="H67" s="5">
        <f>IF(AND(ISBLANK(OHMeter[[#This Row],[Beg Ser]]),ISBLANK(OHMeter[[#This Row],[End Ser]])),"",OHMeter[[#This Row],[End Ser]]-OHMeter[[#This Row],[Beg Ser]]+1)</f>
        <v>2160</v>
      </c>
      <c r="I67" s="7">
        <v>44994</v>
      </c>
      <c r="J67" s="7"/>
      <c r="K67" s="22">
        <v>81146335</v>
      </c>
      <c r="L67" s="7">
        <v>45456</v>
      </c>
      <c r="M67" s="11">
        <v>113.71</v>
      </c>
      <c r="N67" s="6" t="s">
        <v>73</v>
      </c>
      <c r="O67" s="5">
        <v>99038745</v>
      </c>
      <c r="P67" s="29" t="s">
        <v>62</v>
      </c>
      <c r="Q67" s="4">
        <f>IF(ISBLANK(OHMeter[[#This Row],[PO Number]]),"",IF(ISBLANK(OHMeter[[#This Row],[Recv Date]]),0,1))</f>
        <v>1</v>
      </c>
      <c r="R67" s="54"/>
    </row>
    <row r="68" spans="1:18" ht="15.6" x14ac:dyDescent="0.3">
      <c r="A68" s="5">
        <f>IF(ISBLANK(OHMeter[[#This Row],[OpCo2]]),"",COUNTA(OHMeter[[#This Row],[OpCo2]])-(COUNTA(OHMeter[[#This Row],[OpCo2]])-ROW(OHMeter[[#This Row],[OpCo2]])+1))</f>
        <v>67</v>
      </c>
      <c r="B68" s="5" t="s">
        <v>17</v>
      </c>
      <c r="C68" s="6" t="s">
        <v>2</v>
      </c>
      <c r="D68" s="6" t="s">
        <v>1</v>
      </c>
      <c r="E68" s="31" t="s">
        <v>62</v>
      </c>
      <c r="F68" s="23">
        <v>921137583</v>
      </c>
      <c r="G68" s="55">
        <v>921138062</v>
      </c>
      <c r="H68" s="5">
        <f>IF(AND(ISBLANK(OHMeter[[#This Row],[Beg Ser]]),ISBLANK(OHMeter[[#This Row],[End Ser]])),"",OHMeter[[#This Row],[End Ser]]-OHMeter[[#This Row],[Beg Ser]]+1)</f>
        <v>480</v>
      </c>
      <c r="I68" s="7">
        <v>45295</v>
      </c>
      <c r="J68" s="7"/>
      <c r="K68" s="22">
        <v>81267745</v>
      </c>
      <c r="L68" s="7">
        <v>45456</v>
      </c>
      <c r="M68" s="11">
        <v>113.71</v>
      </c>
      <c r="N68" s="6" t="s">
        <v>73</v>
      </c>
      <c r="O68" s="5">
        <v>99038745</v>
      </c>
      <c r="P68" s="29" t="s">
        <v>62</v>
      </c>
      <c r="Q68" s="4">
        <f>IF(ISBLANK(OHMeter[[#This Row],[PO Number]]),"",IF(ISBLANK(OHMeter[[#This Row],[Recv Date]]),0,1))</f>
        <v>1</v>
      </c>
      <c r="R68" s="54"/>
    </row>
    <row r="69" spans="1:18" ht="15.6" x14ac:dyDescent="0.3">
      <c r="A69" s="5">
        <f>IF(ISBLANK(OHMeter[[#This Row],[OpCo2]]),"",COUNTA(OHMeter[[#This Row],[OpCo2]])-(COUNTA(OHMeter[[#This Row],[OpCo2]])-ROW(OHMeter[[#This Row],[OpCo2]])+1))</f>
        <v>68</v>
      </c>
      <c r="B69" s="5" t="s">
        <v>17</v>
      </c>
      <c r="C69" s="6" t="s">
        <v>2</v>
      </c>
      <c r="D69" s="6" t="s">
        <v>1</v>
      </c>
      <c r="E69" s="31" t="s">
        <v>62</v>
      </c>
      <c r="F69" s="23">
        <v>921123183</v>
      </c>
      <c r="G69" s="55">
        <v>921133262</v>
      </c>
      <c r="H69" s="5">
        <f>IF(AND(ISBLANK(OHMeter[[#This Row],[Beg Ser]]),ISBLANK(OHMeter[[#This Row],[End Ser]])),"",OHMeter[[#This Row],[End Ser]]-OHMeter[[#This Row],[Beg Ser]]+1)</f>
        <v>10080</v>
      </c>
      <c r="I69" s="7">
        <v>44614</v>
      </c>
      <c r="J69" s="7"/>
      <c r="K69" s="22">
        <v>80522644</v>
      </c>
      <c r="L69" s="7">
        <v>45470</v>
      </c>
      <c r="M69" s="11">
        <v>113.71</v>
      </c>
      <c r="N69" s="6" t="s">
        <v>73</v>
      </c>
      <c r="O69" s="5">
        <v>99038745</v>
      </c>
      <c r="P69" s="29" t="s">
        <v>62</v>
      </c>
      <c r="Q69" s="4">
        <f>IF(ISBLANK(OHMeter[[#This Row],[PO Number]]),"",IF(ISBLANK(OHMeter[[#This Row],[Recv Date]]),0,1))</f>
        <v>1</v>
      </c>
      <c r="R69" s="54"/>
    </row>
    <row r="70" spans="1:18" ht="15.6" x14ac:dyDescent="0.3">
      <c r="A70" s="5">
        <f>IF(ISBLANK(OHMeter[[#This Row],[OpCo2]]),"",COUNTA(OHMeter[[#This Row],[OpCo2]])-(COUNTA(OHMeter[[#This Row],[OpCo2]])-ROW(OHMeter[[#This Row],[OpCo2]])+1))</f>
        <v>69</v>
      </c>
      <c r="B70" s="5" t="s">
        <v>17</v>
      </c>
      <c r="C70" s="6" t="s">
        <v>2</v>
      </c>
      <c r="D70" s="6" t="s">
        <v>1</v>
      </c>
      <c r="E70" s="31" t="s">
        <v>71</v>
      </c>
      <c r="F70" s="23">
        <v>921434133</v>
      </c>
      <c r="G70" s="55">
        <v>921434492</v>
      </c>
      <c r="H70" s="5">
        <f>IF(AND(ISBLANK(OHMeter[[#This Row],[Beg Ser]]),ISBLANK(OHMeter[[#This Row],[End Ser]])),"",OHMeter[[#This Row],[End Ser]]-OHMeter[[#This Row],[Beg Ser]]+1)</f>
        <v>360</v>
      </c>
      <c r="I70" s="7">
        <v>44535</v>
      </c>
      <c r="J70" s="7"/>
      <c r="K70" s="22">
        <v>80447158</v>
      </c>
      <c r="L70" s="7">
        <v>45481</v>
      </c>
      <c r="M70" s="11">
        <v>160.69</v>
      </c>
      <c r="N70" s="6" t="s">
        <v>72</v>
      </c>
      <c r="O70" s="5">
        <v>99038747</v>
      </c>
      <c r="P70" s="29" t="s">
        <v>71</v>
      </c>
      <c r="Q70" s="4">
        <f>IF(ISBLANK(OHMeter[[#This Row],[PO Number]]),"",IF(ISBLANK(OHMeter[[#This Row],[Recv Date]]),0,1))</f>
        <v>1</v>
      </c>
      <c r="R70" s="54"/>
    </row>
    <row r="71" spans="1:18" ht="15.6" x14ac:dyDescent="0.3">
      <c r="A71" s="5">
        <f>IF(ISBLANK(OHMeter[[#This Row],[OpCo2]]),"",COUNTA(OHMeter[[#This Row],[OpCo2]])-(COUNTA(OHMeter[[#This Row],[OpCo2]])-ROW(OHMeter[[#This Row],[OpCo2]])+1))</f>
        <v>70</v>
      </c>
      <c r="B71" s="5" t="s">
        <v>17</v>
      </c>
      <c r="C71" s="6" t="s">
        <v>2</v>
      </c>
      <c r="D71" s="6" t="s">
        <v>1</v>
      </c>
      <c r="E71" s="31" t="s">
        <v>122</v>
      </c>
      <c r="F71" s="23">
        <v>921434013</v>
      </c>
      <c r="G71" s="55">
        <v>921434132</v>
      </c>
      <c r="H71" s="5">
        <f>IF(AND(ISBLANK(OHMeter[[#This Row],[Beg Ser]]),ISBLANK(OHMeter[[#This Row],[End Ser]])),"",OHMeter[[#This Row],[End Ser]]-OHMeter[[#This Row],[Beg Ser]]+1)</f>
        <v>120</v>
      </c>
      <c r="I71" s="7">
        <v>44535</v>
      </c>
      <c r="J71" s="7"/>
      <c r="K71" s="22">
        <v>80447158</v>
      </c>
      <c r="L71" s="7">
        <v>45481</v>
      </c>
      <c r="M71" s="11">
        <v>165.73</v>
      </c>
      <c r="N71" s="6" t="s">
        <v>123</v>
      </c>
      <c r="O71" s="5">
        <v>99038726</v>
      </c>
      <c r="P71" s="29" t="s">
        <v>122</v>
      </c>
      <c r="Q71" s="4">
        <f>IF(ISBLANK(OHMeter[[#This Row],[PO Number]]),"",IF(ISBLANK(OHMeter[[#This Row],[Recv Date]]),0,1))</f>
        <v>1</v>
      </c>
      <c r="R71" s="54"/>
    </row>
    <row r="72" spans="1:18" ht="15.6" x14ac:dyDescent="0.3">
      <c r="A72" s="5">
        <f>IF(ISBLANK(OHMeter[[#This Row],[OpCo2]]),"",COUNTA(OHMeter[[#This Row],[OpCo2]])-(COUNTA(OHMeter[[#This Row],[OpCo2]])-ROW(OHMeter[[#This Row],[OpCo2]])+1))</f>
        <v>71</v>
      </c>
      <c r="B72" s="5" t="s">
        <v>17</v>
      </c>
      <c r="C72" s="6" t="s">
        <v>2</v>
      </c>
      <c r="D72" s="6" t="s">
        <v>1</v>
      </c>
      <c r="E72" s="31" t="s">
        <v>71</v>
      </c>
      <c r="F72" s="23">
        <v>921033589</v>
      </c>
      <c r="G72" s="55">
        <v>921033708</v>
      </c>
      <c r="H72" s="5">
        <f>IF(AND(ISBLANK(OHMeter[[#This Row],[Beg Ser]]),ISBLANK(OHMeter[[#This Row],[End Ser]])),"",OHMeter[[#This Row],[End Ser]]-OHMeter[[#This Row],[Beg Ser]]+1)</f>
        <v>120</v>
      </c>
      <c r="I72" s="7">
        <v>45091</v>
      </c>
      <c r="J72" s="7"/>
      <c r="K72" s="22">
        <v>81189683</v>
      </c>
      <c r="L72" s="7">
        <v>45481</v>
      </c>
      <c r="M72" s="11">
        <v>160.69</v>
      </c>
      <c r="N72" s="6" t="s">
        <v>72</v>
      </c>
      <c r="O72" s="5">
        <v>99038747</v>
      </c>
      <c r="P72" s="29" t="s">
        <v>71</v>
      </c>
      <c r="Q72" s="4">
        <f>IF(ISBLANK(OHMeter[[#This Row],[PO Number]]),"",IF(ISBLANK(OHMeter[[#This Row],[Recv Date]]),0,1))</f>
        <v>1</v>
      </c>
      <c r="R72" s="54"/>
    </row>
    <row r="73" spans="1:18" ht="15.6" x14ac:dyDescent="0.3">
      <c r="A73" s="5">
        <f>IF(ISBLANK(OHMeter[[#This Row],[OpCo2]]),"",COUNTA(OHMeter[[#This Row],[OpCo2]])-(COUNTA(OHMeter[[#This Row],[OpCo2]])-ROW(OHMeter[[#This Row],[OpCo2]])+1))</f>
        <v>72</v>
      </c>
      <c r="B73" s="5" t="s">
        <v>17</v>
      </c>
      <c r="C73" s="6" t="s">
        <v>2</v>
      </c>
      <c r="D73" s="6" t="s">
        <v>1</v>
      </c>
      <c r="E73" s="31" t="s">
        <v>62</v>
      </c>
      <c r="F73" s="23">
        <v>921449493</v>
      </c>
      <c r="G73" s="55">
        <v>921450692</v>
      </c>
      <c r="H73" s="5">
        <f>IF(AND(ISBLANK(OHMeter[[#This Row],[Beg Ser]]),ISBLANK(OHMeter[[#This Row],[End Ser]])),"",OHMeter[[#This Row],[End Ser]]-OHMeter[[#This Row],[Beg Ser]]+1)</f>
        <v>1200</v>
      </c>
      <c r="I73" s="7">
        <v>45091</v>
      </c>
      <c r="J73" s="7"/>
      <c r="K73" s="22">
        <v>81189683</v>
      </c>
      <c r="L73" s="7">
        <v>45481</v>
      </c>
      <c r="M73" s="11">
        <v>113.71</v>
      </c>
      <c r="N73" s="6" t="s">
        <v>73</v>
      </c>
      <c r="O73" s="5">
        <v>99038745</v>
      </c>
      <c r="P73" s="29" t="s">
        <v>62</v>
      </c>
      <c r="Q73" s="4">
        <f>IF(ISBLANK(OHMeter[[#This Row],[PO Number]]),"",IF(ISBLANK(OHMeter[[#This Row],[Recv Date]]),0,1))</f>
        <v>1</v>
      </c>
      <c r="R73" s="54"/>
    </row>
    <row r="74" spans="1:18" ht="15.6" x14ac:dyDescent="0.3">
      <c r="A74" s="5">
        <f>IF(ISBLANK(OHMeter[[#This Row],[OpCo2]]),"",COUNTA(OHMeter[[#This Row],[OpCo2]])-(COUNTA(OHMeter[[#This Row],[OpCo2]])-ROW(OHMeter[[#This Row],[OpCo2]])+1))</f>
        <v>73</v>
      </c>
      <c r="B74" s="5" t="s">
        <v>17</v>
      </c>
      <c r="C74" s="6" t="s">
        <v>2</v>
      </c>
      <c r="D74" s="6" t="s">
        <v>1</v>
      </c>
      <c r="E74" s="31" t="s">
        <v>62</v>
      </c>
      <c r="F74" s="23">
        <v>921291203</v>
      </c>
      <c r="G74" s="55">
        <v>921301282</v>
      </c>
      <c r="H74" s="5">
        <f>IF(AND(ISBLANK(OHMeter[[#This Row],[Beg Ser]]),ISBLANK(OHMeter[[#This Row],[End Ser]])),"",OHMeter[[#This Row],[End Ser]]-OHMeter[[#This Row],[Beg Ser]]+1)</f>
        <v>10080</v>
      </c>
      <c r="I74" s="7">
        <v>44614</v>
      </c>
      <c r="J74" s="7"/>
      <c r="K74" s="22">
        <v>80522644</v>
      </c>
      <c r="L74" s="7">
        <v>45498</v>
      </c>
      <c r="M74" s="11">
        <v>113.71</v>
      </c>
      <c r="N74" s="6" t="s">
        <v>73</v>
      </c>
      <c r="O74" s="5">
        <v>99038745</v>
      </c>
      <c r="P74" s="29" t="s">
        <v>62</v>
      </c>
      <c r="Q74" s="4">
        <f>IF(ISBLANK(OHMeter[[#This Row],[PO Number]]),"",IF(ISBLANK(OHMeter[[#This Row],[Recv Date]]),0,1))</f>
        <v>1</v>
      </c>
      <c r="R74" s="54"/>
    </row>
    <row r="75" spans="1:18" ht="15.6" x14ac:dyDescent="0.3">
      <c r="A75" s="5">
        <f>IF(ISBLANK(OHMeter[[#This Row],[OpCo2]]),"",COUNTA(OHMeter[[#This Row],[OpCo2]])-(COUNTA(OHMeter[[#This Row],[OpCo2]])-ROW(OHMeter[[#This Row],[OpCo2]])+1))</f>
        <v>74</v>
      </c>
      <c r="B75" s="5" t="s">
        <v>17</v>
      </c>
      <c r="C75" s="6" t="s">
        <v>2</v>
      </c>
      <c r="D75" s="6" t="s">
        <v>1</v>
      </c>
      <c r="E75" s="31" t="s">
        <v>0</v>
      </c>
      <c r="F75" s="23">
        <v>621772932</v>
      </c>
      <c r="G75" s="55">
        <v>621773027</v>
      </c>
      <c r="H75" s="5">
        <f>IF(AND(ISBLANK(OHMeter[[#This Row],[Beg Ser]]),ISBLANK(OHMeter[[#This Row],[End Ser]])),"",OHMeter[[#This Row],[End Ser]]-OHMeter[[#This Row],[Beg Ser]]+1)</f>
        <v>96</v>
      </c>
      <c r="I75" s="7">
        <v>44538</v>
      </c>
      <c r="J75" s="7"/>
      <c r="K75" s="22">
        <v>80448918</v>
      </c>
      <c r="L75" s="7">
        <v>45499</v>
      </c>
      <c r="M75" s="11">
        <v>215.16</v>
      </c>
      <c r="N75" s="6" t="s">
        <v>95</v>
      </c>
      <c r="O75" s="5">
        <v>99114973</v>
      </c>
      <c r="P75" s="29" t="s">
        <v>0</v>
      </c>
      <c r="Q75" s="4">
        <f>IF(ISBLANK(OHMeter[[#This Row],[PO Number]]),"",IF(ISBLANK(OHMeter[[#This Row],[Recv Date]]),0,1))</f>
        <v>1</v>
      </c>
      <c r="R75" s="54"/>
    </row>
    <row r="76" spans="1:18" ht="15.6" x14ac:dyDescent="0.3">
      <c r="A76" s="5">
        <f>IF(ISBLANK(OHMeter[[#This Row],[OpCo2]]),"",COUNTA(OHMeter[[#This Row],[OpCo2]])-(COUNTA(OHMeter[[#This Row],[OpCo2]])-ROW(OHMeter[[#This Row],[OpCo2]])+1))</f>
        <v>75</v>
      </c>
      <c r="B76" s="5" t="s">
        <v>17</v>
      </c>
      <c r="C76" s="6" t="s">
        <v>2</v>
      </c>
      <c r="D76" s="6" t="s">
        <v>1</v>
      </c>
      <c r="E76" s="31" t="s">
        <v>71</v>
      </c>
      <c r="F76" s="23">
        <v>921560286</v>
      </c>
      <c r="G76" s="55">
        <v>921560525</v>
      </c>
      <c r="H76" s="5">
        <f>IF(AND(ISBLANK(OHMeter[[#This Row],[Beg Ser]]),ISBLANK(OHMeter[[#This Row],[End Ser]])),"",OHMeter[[#This Row],[End Ser]]-OHMeter[[#This Row],[Beg Ser]]+1)</f>
        <v>240</v>
      </c>
      <c r="I76" s="7">
        <v>44616</v>
      </c>
      <c r="J76" s="7"/>
      <c r="K76" s="22">
        <v>80527481</v>
      </c>
      <c r="L76" s="7">
        <v>45499</v>
      </c>
      <c r="M76" s="11">
        <v>160.69</v>
      </c>
      <c r="N76" s="6" t="s">
        <v>72</v>
      </c>
      <c r="O76" s="5">
        <v>99038747</v>
      </c>
      <c r="P76" s="29" t="s">
        <v>71</v>
      </c>
      <c r="Q76" s="4">
        <f>IF(ISBLANK(OHMeter[[#This Row],[PO Number]]),"",IF(ISBLANK(OHMeter[[#This Row],[Recv Date]]),0,1))</f>
        <v>1</v>
      </c>
      <c r="R76" s="54"/>
    </row>
    <row r="77" spans="1:18" ht="15.6" x14ac:dyDescent="0.3">
      <c r="A77" s="5">
        <f>IF(ISBLANK(OHMeter[[#This Row],[OpCo2]]),"",COUNTA(OHMeter[[#This Row],[OpCo2]])-(COUNTA(OHMeter[[#This Row],[OpCo2]])-ROW(OHMeter[[#This Row],[OpCo2]])+1))</f>
        <v>76</v>
      </c>
      <c r="B77" s="5" t="s">
        <v>17</v>
      </c>
      <c r="C77" s="6" t="s">
        <v>2</v>
      </c>
      <c r="D77" s="6" t="s">
        <v>1</v>
      </c>
      <c r="E77" s="31" t="s">
        <v>122</v>
      </c>
      <c r="F77" s="23">
        <v>921545166</v>
      </c>
      <c r="G77" s="55">
        <v>921545285</v>
      </c>
      <c r="H77" s="5">
        <f>IF(AND(ISBLANK(OHMeter[[#This Row],[Beg Ser]]),ISBLANK(OHMeter[[#This Row],[End Ser]])),"",OHMeter[[#This Row],[End Ser]]-OHMeter[[#This Row],[Beg Ser]]+1)</f>
        <v>120</v>
      </c>
      <c r="I77" s="7">
        <v>44616</v>
      </c>
      <c r="J77" s="7"/>
      <c r="K77" s="22">
        <v>80527481</v>
      </c>
      <c r="L77" s="7">
        <v>45499</v>
      </c>
      <c r="M77" s="11">
        <v>165.73</v>
      </c>
      <c r="N77" s="6" t="s">
        <v>123</v>
      </c>
      <c r="O77" s="5">
        <v>99038726</v>
      </c>
      <c r="P77" s="29" t="s">
        <v>122</v>
      </c>
      <c r="Q77" s="4">
        <f>IF(ISBLANK(OHMeter[[#This Row],[PO Number]]),"",IF(ISBLANK(OHMeter[[#This Row],[Recv Date]]),0,1))</f>
        <v>1</v>
      </c>
      <c r="R77" s="54"/>
    </row>
    <row r="78" spans="1:18" ht="15.6" x14ac:dyDescent="0.3">
      <c r="A78" s="5">
        <f>IF(ISBLANK(OHMeter[[#This Row],[OpCo2]]),"",COUNTA(OHMeter[[#This Row],[OpCo2]])-(COUNTA(OHMeter[[#This Row],[OpCo2]])-ROW(OHMeter[[#This Row],[OpCo2]])+1))</f>
        <v>77</v>
      </c>
      <c r="B78" s="5" t="s">
        <v>17</v>
      </c>
      <c r="C78" s="6" t="s">
        <v>2</v>
      </c>
      <c r="D78" s="6" t="s">
        <v>1</v>
      </c>
      <c r="E78" s="5" t="s">
        <v>126</v>
      </c>
      <c r="F78" s="76">
        <v>921560526</v>
      </c>
      <c r="G78" s="77">
        <v>921561245</v>
      </c>
      <c r="H78" s="5">
        <f>IF(AND(ISBLANK(OHMeter[[#This Row],[Beg Ser]]),ISBLANK(OHMeter[[#This Row],[End Ser]])),"",OHMeter[[#This Row],[End Ser]]-OHMeter[[#This Row],[Beg Ser]]+1)</f>
        <v>720</v>
      </c>
      <c r="I78" s="7">
        <v>44616</v>
      </c>
      <c r="J78" s="7"/>
      <c r="K78" s="22">
        <v>80527481</v>
      </c>
      <c r="L78" s="7">
        <v>45503</v>
      </c>
      <c r="M78" s="11">
        <v>131.24</v>
      </c>
      <c r="N78" s="6" t="s">
        <v>146</v>
      </c>
      <c r="O78" s="5">
        <v>99038746</v>
      </c>
      <c r="P78" s="29" t="s">
        <v>126</v>
      </c>
      <c r="Q78" s="4">
        <f>IF(ISBLANK(OHMeter[[#This Row],[PO Number]]),"",IF(ISBLANK(OHMeter[[#This Row],[Recv Date]]),0,1))</f>
        <v>1</v>
      </c>
      <c r="R78" s="54"/>
    </row>
    <row r="79" spans="1:18" ht="15.6" x14ac:dyDescent="0.3">
      <c r="A79" s="5">
        <f>IF(ISBLANK(OHMeter[[#This Row],[OpCo2]]),"",COUNTA(OHMeter[[#This Row],[OpCo2]])-(COUNTA(OHMeter[[#This Row],[OpCo2]])-ROW(OHMeter[[#This Row],[OpCo2]])+1))</f>
        <v>78</v>
      </c>
      <c r="B79" s="5" t="s">
        <v>17</v>
      </c>
      <c r="C79" s="6" t="s">
        <v>2</v>
      </c>
      <c r="D79" s="6" t="s">
        <v>1</v>
      </c>
      <c r="E79" s="5" t="s">
        <v>62</v>
      </c>
      <c r="F79" s="18">
        <v>921413853</v>
      </c>
      <c r="G79" s="19">
        <v>921418892</v>
      </c>
      <c r="H79" s="5">
        <f>IF(AND(ISBLANK(OHMeter[[#This Row],[Beg Ser]]),ISBLANK(OHMeter[[#This Row],[End Ser]])),"",OHMeter[[#This Row],[End Ser]]-OHMeter[[#This Row],[Beg Ser]]+1)</f>
        <v>5040</v>
      </c>
      <c r="I79" s="7">
        <v>45294</v>
      </c>
      <c r="J79" s="7"/>
      <c r="K79" s="22">
        <v>80522645</v>
      </c>
      <c r="L79" s="7">
        <v>45525</v>
      </c>
      <c r="M79" s="11">
        <v>113.71</v>
      </c>
      <c r="N79" s="6" t="s">
        <v>73</v>
      </c>
      <c r="O79" s="5">
        <v>99038745</v>
      </c>
      <c r="P79" s="29" t="s">
        <v>62</v>
      </c>
      <c r="Q79" s="4">
        <f>IF(ISBLANK(OHMeter[[#This Row],[PO Number]]),"",IF(ISBLANK(OHMeter[[#This Row],[Recv Date]]),0,1))</f>
        <v>1</v>
      </c>
      <c r="R79" s="54"/>
    </row>
    <row r="80" spans="1:18" ht="15.6" x14ac:dyDescent="0.3">
      <c r="A80" s="5">
        <f>IF(ISBLANK(OHMeter[[#This Row],[OpCo2]]),"",COUNTA(OHMeter[[#This Row],[OpCo2]])-(COUNTA(OHMeter[[#This Row],[OpCo2]])-ROW(OHMeter[[#This Row],[OpCo2]])+1))</f>
        <v>79</v>
      </c>
      <c r="B80" s="4" t="s">
        <v>17</v>
      </c>
      <c r="C80" s="6" t="s">
        <v>2</v>
      </c>
      <c r="D80" s="6" t="s">
        <v>1</v>
      </c>
      <c r="E80" s="5" t="s">
        <v>62</v>
      </c>
      <c r="F80" s="18">
        <v>921418893</v>
      </c>
      <c r="G80" s="19">
        <v>921423932</v>
      </c>
      <c r="H80" s="5">
        <f>IF(AND(ISBLANK(OHMeter[[#This Row],[Beg Ser]]),ISBLANK(OHMeter[[#This Row],[End Ser]])),"",OHMeter[[#This Row],[End Ser]]-OHMeter[[#This Row],[Beg Ser]]+1)</f>
        <v>5040</v>
      </c>
      <c r="I80" s="7">
        <v>45294</v>
      </c>
      <c r="J80" s="7"/>
      <c r="K80" s="22">
        <v>80522645</v>
      </c>
      <c r="L80" s="7">
        <v>45525</v>
      </c>
      <c r="M80" s="11">
        <v>113.71</v>
      </c>
      <c r="N80" s="6" t="s">
        <v>73</v>
      </c>
      <c r="O80" s="5">
        <v>99038745</v>
      </c>
      <c r="P80" s="29" t="s">
        <v>62</v>
      </c>
      <c r="Q80" s="4">
        <f>IF(ISBLANK(OHMeter[[#This Row],[PO Number]]),"",IF(ISBLANK(OHMeter[[#This Row],[Recv Date]]),0,1))</f>
        <v>1</v>
      </c>
      <c r="R80" s="41"/>
    </row>
    <row r="81" spans="1:18" ht="15.6" x14ac:dyDescent="0.3">
      <c r="A81" s="5">
        <f>IF(ISBLANK(OHMeter[[#This Row],[OpCo2]]),"",COUNTA(OHMeter[[#This Row],[OpCo2]])-(COUNTA(OHMeter[[#This Row],[OpCo2]])-ROW(OHMeter[[#This Row],[OpCo2]])+1))</f>
        <v>80</v>
      </c>
      <c r="B81" s="5" t="s">
        <v>17</v>
      </c>
      <c r="C81" s="6" t="s">
        <v>2</v>
      </c>
      <c r="D81" s="6" t="s">
        <v>1</v>
      </c>
      <c r="E81" s="5" t="s">
        <v>89</v>
      </c>
      <c r="F81" s="18">
        <v>921807599</v>
      </c>
      <c r="G81" s="19">
        <v>921807646</v>
      </c>
      <c r="H81" s="5">
        <f>IF(AND(ISBLANK(OHMeter[[#This Row],[Beg Ser]]),ISBLANK(OHMeter[[#This Row],[End Ser]])),"",OHMeter[[#This Row],[End Ser]]-OHMeter[[#This Row],[Beg Ser]]+1)</f>
        <v>48</v>
      </c>
      <c r="I81" s="7">
        <v>45091</v>
      </c>
      <c r="J81" s="7"/>
      <c r="K81" s="22">
        <v>81189683</v>
      </c>
      <c r="L81" s="7">
        <v>45530</v>
      </c>
      <c r="M81" s="11">
        <v>403.88</v>
      </c>
      <c r="N81" s="6" t="s">
        <v>88</v>
      </c>
      <c r="O81" s="5">
        <v>71058283</v>
      </c>
      <c r="P81" s="29" t="s">
        <v>89</v>
      </c>
      <c r="Q81" s="4">
        <f>IF(ISBLANK(OHMeter[[#This Row],[PO Number]]),"",IF(ISBLANK(OHMeter[[#This Row],[Recv Date]]),0,1))</f>
        <v>1</v>
      </c>
      <c r="R81" s="41"/>
    </row>
    <row r="82" spans="1:18" ht="15.6" x14ac:dyDescent="0.3">
      <c r="A82" s="5">
        <f>IF(ISBLANK(OHMeter[[#This Row],[OpCo2]]),"",COUNTA(OHMeter[[#This Row],[OpCo2]])-(COUNTA(OHMeter[[#This Row],[OpCo2]])-ROW(OHMeter[[#This Row],[OpCo2]])+1))</f>
        <v>81</v>
      </c>
      <c r="B82" s="5" t="s">
        <v>17</v>
      </c>
      <c r="C82" s="6" t="s">
        <v>2</v>
      </c>
      <c r="D82" s="6" t="s">
        <v>1</v>
      </c>
      <c r="E82" s="5" t="s">
        <v>62</v>
      </c>
      <c r="F82" s="18">
        <v>921423933</v>
      </c>
      <c r="G82" s="19">
        <v>921434012</v>
      </c>
      <c r="H82" s="5">
        <f>IF(AND(ISBLANK(OHMeter[[#This Row],[Beg Ser]]),ISBLANK(OHMeter[[#This Row],[End Ser]])),"",OHMeter[[#This Row],[End Ser]]-OHMeter[[#This Row],[Beg Ser]]+1)</f>
        <v>10080</v>
      </c>
      <c r="I82" s="7">
        <v>44614</v>
      </c>
      <c r="J82" s="7"/>
      <c r="K82" s="22">
        <v>80522645</v>
      </c>
      <c r="L82" s="7">
        <v>45531</v>
      </c>
      <c r="M82" s="11">
        <v>113.71</v>
      </c>
      <c r="N82" s="6" t="s">
        <v>73</v>
      </c>
      <c r="O82" s="5">
        <v>99038745</v>
      </c>
      <c r="P82" s="29" t="s">
        <v>62</v>
      </c>
      <c r="Q82" s="4">
        <f>IF(ISBLANK(OHMeter[[#This Row],[PO Number]]),"",IF(ISBLANK(OHMeter[[#This Row],[Recv Date]]),0,1))</f>
        <v>1</v>
      </c>
      <c r="R82" s="41"/>
    </row>
    <row r="83" spans="1:18" ht="15.6" x14ac:dyDescent="0.3">
      <c r="A83" s="5">
        <f>IF(ISBLANK(OHMeter[[#This Row],[OpCo2]]),"",COUNTA(OHMeter[[#This Row],[OpCo2]])-(COUNTA(OHMeter[[#This Row],[OpCo2]])-ROW(OHMeter[[#This Row],[OpCo2]])+1))</f>
        <v>82</v>
      </c>
      <c r="B83" s="5" t="s">
        <v>17</v>
      </c>
      <c r="C83" s="6" t="s">
        <v>2</v>
      </c>
      <c r="D83" s="6" t="s">
        <v>1</v>
      </c>
      <c r="E83" s="5" t="s">
        <v>0</v>
      </c>
      <c r="F83" s="18">
        <v>622195937</v>
      </c>
      <c r="G83" s="19">
        <v>622196128</v>
      </c>
      <c r="H83" s="5">
        <f>IF(AND(ISBLANK(OHMeter[[#This Row],[Beg Ser]]),ISBLANK(OHMeter[[#This Row],[End Ser]])),"",OHMeter[[#This Row],[End Ser]]-OHMeter[[#This Row],[Beg Ser]]+1)</f>
        <v>192</v>
      </c>
      <c r="I83" s="7">
        <v>44616</v>
      </c>
      <c r="J83" s="7"/>
      <c r="K83" s="22">
        <v>80527481</v>
      </c>
      <c r="L83" s="7">
        <v>45532</v>
      </c>
      <c r="M83" s="11">
        <v>215.16</v>
      </c>
      <c r="N83" s="6" t="s">
        <v>95</v>
      </c>
      <c r="O83" s="5">
        <v>99114973</v>
      </c>
      <c r="P83" s="29" t="s">
        <v>0</v>
      </c>
      <c r="Q83" s="4">
        <f>IF(ISBLANK(OHMeter[[#This Row],[PO Number]]),"",IF(ISBLANK(OHMeter[[#This Row],[Recv Date]]),0,1))</f>
        <v>1</v>
      </c>
      <c r="R83" s="41"/>
    </row>
    <row r="84" spans="1:18" ht="15.6" x14ac:dyDescent="0.3">
      <c r="A84" s="5">
        <f>IF(ISBLANK(OHMeter[[#This Row],[OpCo2]]),"",COUNTA(OHMeter[[#This Row],[OpCo2]])-(COUNTA(OHMeter[[#This Row],[OpCo2]])-ROW(OHMeter[[#This Row],[OpCo2]])+1))</f>
        <v>83</v>
      </c>
      <c r="B84" s="5" t="s">
        <v>17</v>
      </c>
      <c r="C84" s="6" t="s">
        <v>2</v>
      </c>
      <c r="D84" s="6" t="s">
        <v>1</v>
      </c>
      <c r="E84" s="5" t="s">
        <v>137</v>
      </c>
      <c r="F84" s="18">
        <v>622196129</v>
      </c>
      <c r="G84" s="19">
        <v>622196176</v>
      </c>
      <c r="H84" s="5">
        <f>IF(AND(ISBLANK(OHMeter[[#This Row],[Beg Ser]]),ISBLANK(OHMeter[[#This Row],[End Ser]])),"",OHMeter[[#This Row],[End Ser]]-OHMeter[[#This Row],[Beg Ser]]+1)</f>
        <v>48</v>
      </c>
      <c r="I84" s="7">
        <v>44616</v>
      </c>
      <c r="J84" s="7"/>
      <c r="K84" s="22">
        <v>80527480</v>
      </c>
      <c r="L84" s="7">
        <v>45551</v>
      </c>
      <c r="M84" s="11">
        <v>215.16</v>
      </c>
      <c r="N84" s="6" t="s">
        <v>138</v>
      </c>
      <c r="O84" s="5">
        <v>99114976</v>
      </c>
      <c r="P84" s="29" t="s">
        <v>137</v>
      </c>
      <c r="Q84" s="4">
        <f>IF(ISBLANK(OHMeter[[#This Row],[PO Number]]),"",IF(ISBLANK(OHMeter[[#This Row],[Recv Date]]),0,1))</f>
        <v>1</v>
      </c>
      <c r="R84" s="41"/>
    </row>
    <row r="85" spans="1:18" ht="15.6" x14ac:dyDescent="0.3">
      <c r="A85" s="5">
        <f>IF(ISBLANK(OHMeter[[#This Row],[OpCo2]]),"",COUNTA(OHMeter[[#This Row],[OpCo2]])-(COUNTA(OHMeter[[#This Row],[OpCo2]])-ROW(OHMeter[[#This Row],[OpCo2]])+1))</f>
        <v>84</v>
      </c>
      <c r="B85" s="5" t="s">
        <v>17</v>
      </c>
      <c r="C85" s="6" t="s">
        <v>2</v>
      </c>
      <c r="D85" s="6" t="s">
        <v>1</v>
      </c>
      <c r="E85" s="5" t="s">
        <v>137</v>
      </c>
      <c r="F85" s="18">
        <v>621813032</v>
      </c>
      <c r="G85" s="19">
        <v>621813079</v>
      </c>
      <c r="H85" s="5">
        <f>IF(AND(ISBLANK(OHMeter[[#This Row],[Beg Ser]]),ISBLANK(OHMeter[[#This Row],[End Ser]])),"",OHMeter[[#This Row],[End Ser]]-OHMeter[[#This Row],[Beg Ser]]+1)</f>
        <v>48</v>
      </c>
      <c r="I85" s="7">
        <v>44538</v>
      </c>
      <c r="J85" s="7"/>
      <c r="K85" s="22">
        <v>80448917</v>
      </c>
      <c r="L85" s="7">
        <v>45551</v>
      </c>
      <c r="M85" s="11">
        <v>215.16</v>
      </c>
      <c r="N85" s="6" t="s">
        <v>138</v>
      </c>
      <c r="O85" s="5">
        <v>99114976</v>
      </c>
      <c r="P85" s="29" t="s">
        <v>137</v>
      </c>
      <c r="Q85" s="4">
        <f>IF(ISBLANK(OHMeter[[#This Row],[PO Number]]),"",IF(ISBLANK(OHMeter[[#This Row],[Recv Date]]),0,1))</f>
        <v>1</v>
      </c>
      <c r="R85" s="41"/>
    </row>
    <row r="86" spans="1:18" ht="15.6" x14ac:dyDescent="0.3">
      <c r="A86" s="5">
        <f>IF(ISBLANK(OHMeter[[#This Row],[OpCo2]]),"",COUNTA(OHMeter[[#This Row],[OpCo2]])-(COUNTA(OHMeter[[#This Row],[OpCo2]])-ROW(OHMeter[[#This Row],[OpCo2]])+1))</f>
        <v>85</v>
      </c>
      <c r="B86" s="5" t="s">
        <v>17</v>
      </c>
      <c r="C86" s="6" t="s">
        <v>2</v>
      </c>
      <c r="D86" s="6" t="s">
        <v>1</v>
      </c>
      <c r="E86" s="5" t="s">
        <v>85</v>
      </c>
      <c r="F86" s="18">
        <v>622194977</v>
      </c>
      <c r="G86" s="19">
        <v>622195936</v>
      </c>
      <c r="H86" s="5">
        <f>IF(AND(ISBLANK(OHMeter[[#This Row],[Beg Ser]]),ISBLANK(OHMeter[[#This Row],[End Ser]])),"",OHMeter[[#This Row],[End Ser]]-OHMeter[[#This Row],[Beg Ser]]+1)</f>
        <v>960</v>
      </c>
      <c r="I86" s="7">
        <v>44616</v>
      </c>
      <c r="J86" s="7"/>
      <c r="K86" s="22">
        <v>80527481</v>
      </c>
      <c r="L86" s="7">
        <v>45551</v>
      </c>
      <c r="M86" s="11">
        <v>215.16</v>
      </c>
      <c r="N86" s="6" t="s">
        <v>87</v>
      </c>
      <c r="O86" s="5">
        <v>99114972</v>
      </c>
      <c r="P86" s="29" t="s">
        <v>85</v>
      </c>
      <c r="Q86" s="4">
        <f>IF(ISBLANK(OHMeter[[#This Row],[PO Number]]),"",IF(ISBLANK(OHMeter[[#This Row],[Recv Date]]),0,1))</f>
        <v>1</v>
      </c>
      <c r="R86" s="78"/>
    </row>
    <row r="87" spans="1:18" ht="15.6" x14ac:dyDescent="0.3">
      <c r="A87" s="5">
        <f>IF(ISBLANK(OHMeter[[#This Row],[OpCo2]]),"",COUNTA(OHMeter[[#This Row],[OpCo2]])-(COUNTA(OHMeter[[#This Row],[OpCo2]])-ROW(OHMeter[[#This Row],[OpCo2]])+1))</f>
        <v>86</v>
      </c>
      <c r="B87" s="5" t="s">
        <v>17</v>
      </c>
      <c r="C87" s="6" t="s">
        <v>2</v>
      </c>
      <c r="D87" s="6" t="s">
        <v>1</v>
      </c>
      <c r="E87" s="5" t="s">
        <v>126</v>
      </c>
      <c r="F87" s="18">
        <v>921913338</v>
      </c>
      <c r="G87" s="19">
        <v>921914773</v>
      </c>
      <c r="H87" s="5">
        <f>IF(AND(ISBLANK(OHMeter[[#This Row],[Beg Ser]]),ISBLANK(OHMeter[[#This Row],[End Ser]])),"",OHMeter[[#This Row],[End Ser]]-OHMeter[[#This Row],[Beg Ser]]+1)</f>
        <v>1436</v>
      </c>
      <c r="I87" s="7">
        <v>44535</v>
      </c>
      <c r="J87" s="7"/>
      <c r="K87" s="22">
        <v>80447158</v>
      </c>
      <c r="L87" s="7">
        <v>45551</v>
      </c>
      <c r="M87" s="11">
        <v>131.24</v>
      </c>
      <c r="N87" s="6" t="s">
        <v>146</v>
      </c>
      <c r="O87" s="5">
        <v>99038746</v>
      </c>
      <c r="P87" s="29" t="s">
        <v>126</v>
      </c>
      <c r="Q87" s="4">
        <f>IF(ISBLANK(OHMeter[[#This Row],[PO Number]]),"",IF(ISBLANK(OHMeter[[#This Row],[Recv Date]]),0,1))</f>
        <v>1</v>
      </c>
      <c r="R87" s="41"/>
    </row>
    <row r="88" spans="1:18" ht="15.6" x14ac:dyDescent="0.3">
      <c r="A88" s="5">
        <f>IF(ISBLANK(OHMeter[[#This Row],[OpCo2]]),"",COUNTA(OHMeter[[#This Row],[OpCo2]])-(COUNTA(OHMeter[[#This Row],[OpCo2]])-ROW(OHMeter[[#This Row],[OpCo2]])+1))</f>
        <v>87</v>
      </c>
      <c r="B88" s="5" t="s">
        <v>17</v>
      </c>
      <c r="C88" s="6" t="s">
        <v>2</v>
      </c>
      <c r="D88" s="6" t="s">
        <v>1</v>
      </c>
      <c r="E88" s="5" t="s">
        <v>62</v>
      </c>
      <c r="F88" s="18">
        <v>921535086</v>
      </c>
      <c r="G88" s="19">
        <v>921545165</v>
      </c>
      <c r="H88" s="5">
        <f>IF(AND(ISBLANK(OHMeter[[#This Row],[Beg Ser]]),ISBLANK(OHMeter[[#This Row],[End Ser]])),"",OHMeter[[#This Row],[End Ser]]-OHMeter[[#This Row],[Beg Ser]]+1)</f>
        <v>10080</v>
      </c>
      <c r="I88" s="7">
        <v>44616</v>
      </c>
      <c r="J88" s="7"/>
      <c r="K88" s="22">
        <v>80527481</v>
      </c>
      <c r="L88" s="7">
        <v>45551</v>
      </c>
      <c r="M88" s="11">
        <v>113.71</v>
      </c>
      <c r="N88" s="6" t="s">
        <v>73</v>
      </c>
      <c r="O88" s="5">
        <v>99038745</v>
      </c>
      <c r="P88" s="29" t="s">
        <v>62</v>
      </c>
      <c r="Q88" s="4">
        <f>IF(ISBLANK(OHMeter[[#This Row],[PO Number]]),"",IF(ISBLANK(OHMeter[[#This Row],[Recv Date]]),0,1))</f>
        <v>1</v>
      </c>
      <c r="R88" s="41"/>
    </row>
    <row r="89" spans="1:18" ht="15.6" x14ac:dyDescent="0.3">
      <c r="A89" s="5">
        <f>IF(ISBLANK(OHMeter[[#This Row],[OpCo2]]),"",COUNTA(OHMeter[[#This Row],[OpCo2]])-(COUNTA(OHMeter[[#This Row],[OpCo2]])-ROW(OHMeter[[#This Row],[OpCo2]])+1))</f>
        <v>88</v>
      </c>
      <c r="B89" s="5" t="s">
        <v>17</v>
      </c>
      <c r="C89" s="6" t="s">
        <v>2</v>
      </c>
      <c r="D89" s="6" t="s">
        <v>1</v>
      </c>
      <c r="E89" s="5" t="s">
        <v>177</v>
      </c>
      <c r="F89" s="18">
        <v>521404602</v>
      </c>
      <c r="G89" s="19">
        <v>521404649</v>
      </c>
      <c r="H89" s="5">
        <f>IF(AND(ISBLANK(OHMeter[[#This Row],[Beg Ser]]),ISBLANK(OHMeter[[#This Row],[End Ser]])),"",OHMeter[[#This Row],[End Ser]]-OHMeter[[#This Row],[Beg Ser]]+1)</f>
        <v>48</v>
      </c>
      <c r="I89" s="7">
        <v>45130</v>
      </c>
      <c r="J89" s="7"/>
      <c r="K89" s="22">
        <v>81204912</v>
      </c>
      <c r="L89" s="7">
        <v>45979</v>
      </c>
      <c r="M89" s="11">
        <v>696.32</v>
      </c>
      <c r="N89" s="6" t="s">
        <v>176</v>
      </c>
      <c r="O89" s="5" t="s">
        <v>178</v>
      </c>
      <c r="P89" s="29" t="s">
        <v>177</v>
      </c>
      <c r="Q89" s="4">
        <f>IF(ISBLANK(OHMeter[[#This Row],[PO Number]]),"",IF(ISBLANK(OHMeter[[#This Row],[Recv Date]]),0,1))</f>
        <v>1</v>
      </c>
      <c r="R89" s="41"/>
    </row>
    <row r="90" spans="1:18" ht="15.6" x14ac:dyDescent="0.3">
      <c r="A90" s="5">
        <f>IF(ISBLANK(OHMeter[[#This Row],[OpCo2]]),"",COUNTA(OHMeter[[#This Row],[OpCo2]])-(COUNTA(OHMeter[[#This Row],[OpCo2]])-ROW(OHMeter[[#This Row],[OpCo2]])+1))</f>
        <v>89</v>
      </c>
      <c r="B90" s="5" t="s">
        <v>17</v>
      </c>
      <c r="C90" s="6" t="s">
        <v>2</v>
      </c>
      <c r="D90" s="6" t="s">
        <v>1</v>
      </c>
      <c r="E90" s="5" t="s">
        <v>177</v>
      </c>
      <c r="F90" s="20">
        <v>521719811</v>
      </c>
      <c r="G90" s="21">
        <v>521719858</v>
      </c>
      <c r="H90" s="5">
        <f>IF(AND(ISBLANK(OHMeter[[#This Row],[Beg Ser]]),ISBLANK(OHMeter[[#This Row],[End Ser]])),"",OHMeter[[#This Row],[End Ser]]-OHMeter[[#This Row],[Beg Ser]]+1)</f>
        <v>48</v>
      </c>
      <c r="I90" s="7">
        <v>45106</v>
      </c>
      <c r="J90" s="7"/>
      <c r="K90" s="22">
        <v>81196273</v>
      </c>
      <c r="L90" s="7">
        <v>45979</v>
      </c>
      <c r="M90" s="11">
        <v>696.32</v>
      </c>
      <c r="N90" s="6" t="s">
        <v>176</v>
      </c>
      <c r="O90" s="5" t="s">
        <v>178</v>
      </c>
      <c r="P90" s="29" t="s">
        <v>177</v>
      </c>
      <c r="Q90" s="4">
        <f>IF(ISBLANK(OHMeter[[#This Row],[PO Number]]),"",IF(ISBLANK(OHMeter[[#This Row],[Recv Date]]),0,1))</f>
        <v>1</v>
      </c>
      <c r="R90" s="41"/>
    </row>
    <row r="91" spans="1:18" ht="15.6" x14ac:dyDescent="0.3">
      <c r="A91" s="5">
        <f>IF(ISBLANK(OHMeter[[#This Row],[OpCo2]]),"",COUNTA(OHMeter[[#This Row],[OpCo2]])-(COUNTA(OHMeter[[#This Row],[OpCo2]])-ROW(OHMeter[[#This Row],[OpCo2]])+1))</f>
        <v>90</v>
      </c>
      <c r="B91" s="5" t="s">
        <v>17</v>
      </c>
      <c r="C91" s="6" t="s">
        <v>2</v>
      </c>
      <c r="D91" s="6" t="s">
        <v>1</v>
      </c>
      <c r="E91" s="5" t="s">
        <v>65</v>
      </c>
      <c r="F91" s="18">
        <v>921807551</v>
      </c>
      <c r="G91" s="19">
        <v>921807598</v>
      </c>
      <c r="H91" s="5">
        <f>IF(AND(ISBLANK(OHMeter[[#This Row],[Beg Ser]]),ISBLANK(OHMeter[[#This Row],[End Ser]])),"",OHMeter[[#This Row],[End Ser]]-OHMeter[[#This Row],[Beg Ser]]+1)</f>
        <v>48</v>
      </c>
      <c r="I91" s="7">
        <v>45091</v>
      </c>
      <c r="J91" s="7"/>
      <c r="K91" s="22">
        <v>81189683</v>
      </c>
      <c r="L91" s="7">
        <v>45568</v>
      </c>
      <c r="M91" s="11">
        <v>403.88</v>
      </c>
      <c r="N91" s="6" t="s">
        <v>66</v>
      </c>
      <c r="O91" s="5">
        <v>71058285</v>
      </c>
      <c r="P91" s="29" t="s">
        <v>65</v>
      </c>
      <c r="Q91" s="4">
        <f>IF(ISBLANK(OHMeter[[#This Row],[PO Number]]),"",IF(ISBLANK(OHMeter[[#This Row],[Recv Date]]),0,1))</f>
        <v>1</v>
      </c>
      <c r="R91" s="41"/>
    </row>
    <row r="92" spans="1:18" ht="15.6" x14ac:dyDescent="0.3">
      <c r="A92" s="5">
        <f>IF(ISBLANK(OHMeter[[#This Row],[OpCo2]]),"",COUNTA(OHMeter[[#This Row],[OpCo2]])-(COUNTA(OHMeter[[#This Row],[OpCo2]])-ROW(OHMeter[[#This Row],[OpCo2]])+1))</f>
        <v>91</v>
      </c>
      <c r="B92" s="5" t="s">
        <v>17</v>
      </c>
      <c r="C92" s="6" t="s">
        <v>2</v>
      </c>
      <c r="D92" s="6" t="s">
        <v>1</v>
      </c>
      <c r="E92" s="5" t="s">
        <v>62</v>
      </c>
      <c r="F92" s="18">
        <v>921545286</v>
      </c>
      <c r="G92" s="19">
        <v>921555365</v>
      </c>
      <c r="H92" s="5">
        <f>IF(AND(ISBLANK(OHMeter[[#This Row],[Beg Ser]]),ISBLANK(OHMeter[[#This Row],[End Ser]])),"",OHMeter[[#This Row],[End Ser]]-OHMeter[[#This Row],[Beg Ser]]+1)</f>
        <v>10080</v>
      </c>
      <c r="I92" s="7">
        <v>44616</v>
      </c>
      <c r="J92" s="7"/>
      <c r="K92" s="22">
        <v>80527481</v>
      </c>
      <c r="L92" s="7">
        <v>45575</v>
      </c>
      <c r="M92" s="11">
        <v>113.71</v>
      </c>
      <c r="N92" s="6" t="s">
        <v>73</v>
      </c>
      <c r="O92" s="5">
        <v>99038745</v>
      </c>
      <c r="P92" s="29" t="s">
        <v>62</v>
      </c>
      <c r="Q92" s="4">
        <f>IF(ISBLANK(OHMeter[[#This Row],[PO Number]]),"",IF(ISBLANK(OHMeter[[#This Row],[Recv Date]]),0,1))</f>
        <v>1</v>
      </c>
      <c r="R92" s="41"/>
    </row>
    <row r="93" spans="1:18" ht="15.6" x14ac:dyDescent="0.3">
      <c r="A93" s="5">
        <f>IF(ISBLANK(OHMeter[[#This Row],[OpCo2]]),"",COUNTA(OHMeter[[#This Row],[OpCo2]])-(COUNTA(OHMeter[[#This Row],[OpCo2]])-ROW(OHMeter[[#This Row],[OpCo2]])+1))</f>
        <v>92</v>
      </c>
      <c r="B93" s="5" t="s">
        <v>17</v>
      </c>
      <c r="C93" s="6" t="s">
        <v>2</v>
      </c>
      <c r="D93" s="6" t="s">
        <v>1</v>
      </c>
      <c r="E93" s="5" t="s">
        <v>62</v>
      </c>
      <c r="F93" s="18">
        <v>922598322</v>
      </c>
      <c r="G93" s="19">
        <v>922608401</v>
      </c>
      <c r="H93" s="5">
        <f>IF(AND(ISBLANK(OHMeter[[#This Row],[Beg Ser]]),ISBLANK(OHMeter[[#This Row],[End Ser]])),"",OHMeter[[#This Row],[End Ser]]-OHMeter[[#This Row],[Beg Ser]]+1)</f>
        <v>10080</v>
      </c>
      <c r="I93" s="7">
        <v>44614</v>
      </c>
      <c r="J93" s="7"/>
      <c r="K93" s="22">
        <v>80522642</v>
      </c>
      <c r="L93" s="7">
        <v>45586</v>
      </c>
      <c r="M93" s="11">
        <v>113.71</v>
      </c>
      <c r="N93" s="6" t="s">
        <v>73</v>
      </c>
      <c r="O93" s="5">
        <v>99038745</v>
      </c>
      <c r="P93" s="29" t="s">
        <v>62</v>
      </c>
      <c r="Q93" s="4">
        <f>IF(ISBLANK(OHMeter[[#This Row],[PO Number]]),"",IF(ISBLANK(OHMeter[[#This Row],[Recv Date]]),0,1))</f>
        <v>1</v>
      </c>
      <c r="R93" s="41"/>
    </row>
    <row r="94" spans="1:18" ht="15.6" x14ac:dyDescent="0.3">
      <c r="A94" s="5">
        <f>IF(ISBLANK(OHMeter[[#This Row],[OpCo2]]),"",COUNTA(OHMeter[[#This Row],[OpCo2]])-(COUNTA(OHMeter[[#This Row],[OpCo2]])-ROW(OHMeter[[#This Row],[OpCo2]])+1))</f>
        <v>93</v>
      </c>
      <c r="B94" s="5" t="s">
        <v>17</v>
      </c>
      <c r="C94" s="6" t="s">
        <v>2</v>
      </c>
      <c r="D94" s="6" t="s">
        <v>1</v>
      </c>
      <c r="E94" s="5" t="s">
        <v>85</v>
      </c>
      <c r="F94" s="18">
        <v>622576154</v>
      </c>
      <c r="G94" s="19">
        <v>622577113</v>
      </c>
      <c r="H94" s="5">
        <f>IF(AND(ISBLANK(OHMeter[[#This Row],[Beg Ser]]),ISBLANK(OHMeter[[#This Row],[End Ser]])),"",OHMeter[[#This Row],[End Ser]]-OHMeter[[#This Row],[Beg Ser]]+1)</f>
        <v>960</v>
      </c>
      <c r="I94" s="7">
        <v>44538</v>
      </c>
      <c r="J94" s="7"/>
      <c r="K94" s="22">
        <v>80448918</v>
      </c>
      <c r="L94" s="7">
        <v>45589</v>
      </c>
      <c r="M94" s="11">
        <v>215.16</v>
      </c>
      <c r="N94" s="6" t="s">
        <v>87</v>
      </c>
      <c r="O94" s="5">
        <v>99114972</v>
      </c>
      <c r="P94" s="29" t="s">
        <v>85</v>
      </c>
      <c r="Q94" s="4">
        <f>IF(ISBLANK(OHMeter[[#This Row],[PO Number]]),"",IF(ISBLANK(OHMeter[[#This Row],[Recv Date]]),0,1))</f>
        <v>1</v>
      </c>
      <c r="R94" s="78"/>
    </row>
    <row r="95" spans="1:18" ht="15.6" x14ac:dyDescent="0.3">
      <c r="A95" s="5">
        <f>IF(ISBLANK(OHMeter[[#This Row],[OpCo2]]),"",COUNTA(OHMeter[[#This Row],[OpCo2]])-(COUNTA(OHMeter[[#This Row],[OpCo2]])-ROW(OHMeter[[#This Row],[OpCo2]])+1))</f>
        <v>94</v>
      </c>
      <c r="B95" s="5" t="s">
        <v>17</v>
      </c>
      <c r="C95" s="6" t="s">
        <v>2</v>
      </c>
      <c r="D95" s="6" t="s">
        <v>1</v>
      </c>
      <c r="E95" s="5" t="s">
        <v>62</v>
      </c>
      <c r="F95" s="18">
        <v>922545467</v>
      </c>
      <c r="G95" s="19">
        <v>922555546</v>
      </c>
      <c r="H95" s="5">
        <f>IF(AND(ISBLANK(OHMeter[[#This Row],[Beg Ser]]),ISBLANK(OHMeter[[#This Row],[End Ser]])),"",OHMeter[[#This Row],[End Ser]]-OHMeter[[#This Row],[Beg Ser]]+1)</f>
        <v>10080</v>
      </c>
      <c r="I95" s="7">
        <v>44614</v>
      </c>
      <c r="J95" s="7"/>
      <c r="K95" s="22">
        <v>80522642</v>
      </c>
      <c r="L95" s="7">
        <v>45593</v>
      </c>
      <c r="M95" s="11">
        <v>113.71</v>
      </c>
      <c r="N95" s="6" t="s">
        <v>73</v>
      </c>
      <c r="O95" s="5">
        <v>99038745</v>
      </c>
      <c r="P95" s="29" t="s">
        <v>62</v>
      </c>
      <c r="Q95" s="4">
        <f>IF(ISBLANK(OHMeter[[#This Row],[PO Number]]),"",IF(ISBLANK(OHMeter[[#This Row],[Recv Date]]),0,1))</f>
        <v>1</v>
      </c>
      <c r="R95" s="41"/>
    </row>
    <row r="96" spans="1:18" ht="15.6" x14ac:dyDescent="0.3">
      <c r="A96" s="5">
        <f>IF(ISBLANK(OHMeter[[#This Row],[OpCo2]]),"",COUNTA(OHMeter[[#This Row],[OpCo2]])-(COUNTA(OHMeter[[#This Row],[OpCo2]])-ROW(OHMeter[[#This Row],[OpCo2]])+1))</f>
        <v>95</v>
      </c>
      <c r="B96" s="5" t="s">
        <v>17</v>
      </c>
      <c r="C96" s="6" t="s">
        <v>2</v>
      </c>
      <c r="D96" s="6" t="s">
        <v>1</v>
      </c>
      <c r="E96" s="5" t="s">
        <v>62</v>
      </c>
      <c r="F96" s="18">
        <v>922764284</v>
      </c>
      <c r="G96" s="19">
        <v>922774363</v>
      </c>
      <c r="H96" s="5">
        <f>IF(AND(ISBLANK(OHMeter[[#This Row],[Beg Ser]]),ISBLANK(OHMeter[[#This Row],[End Ser]])),"",OHMeter[[#This Row],[End Ser]]-OHMeter[[#This Row],[Beg Ser]]+1)</f>
        <v>10080</v>
      </c>
      <c r="I96" s="7">
        <v>44617</v>
      </c>
      <c r="J96" s="7"/>
      <c r="K96" s="22">
        <v>80528690</v>
      </c>
      <c r="L96" s="7">
        <v>45607</v>
      </c>
      <c r="M96" s="11">
        <v>113.71</v>
      </c>
      <c r="N96" s="6" t="s">
        <v>73</v>
      </c>
      <c r="O96" s="5">
        <v>99038745</v>
      </c>
      <c r="P96" s="29" t="s">
        <v>62</v>
      </c>
      <c r="Q96" s="4">
        <f>IF(ISBLANK(OHMeter[[#This Row],[PO Number]]),"",IF(ISBLANK(OHMeter[[#This Row],[Recv Date]]),0,1))</f>
        <v>1</v>
      </c>
      <c r="R96" s="41"/>
    </row>
    <row r="97" spans="1:23" ht="15.6" x14ac:dyDescent="0.3">
      <c r="A97" s="5">
        <f>IF(ISBLANK(OHMeter[[#This Row],[OpCo2]]),"",COUNTA(OHMeter[[#This Row],[OpCo2]])-(COUNTA(OHMeter[[#This Row],[OpCo2]])-ROW(OHMeter[[#This Row],[OpCo2]])+1))</f>
        <v>96</v>
      </c>
      <c r="B97" s="5" t="s">
        <v>17</v>
      </c>
      <c r="C97" s="6" t="s">
        <v>2</v>
      </c>
      <c r="D97" s="6" t="s">
        <v>1</v>
      </c>
      <c r="E97" s="5" t="s">
        <v>89</v>
      </c>
      <c r="F97" s="18">
        <v>922774364</v>
      </c>
      <c r="G97" s="19">
        <v>922774423</v>
      </c>
      <c r="H97" s="5">
        <f>IF(AND(ISBLANK(OHMeter[[#This Row],[Beg Ser]]),ISBLANK(OHMeter[[#This Row],[End Ser]])),"",OHMeter[[#This Row],[End Ser]]-OHMeter[[#This Row],[Beg Ser]]+1)</f>
        <v>60</v>
      </c>
      <c r="I97" s="7">
        <v>45295</v>
      </c>
      <c r="J97" s="7"/>
      <c r="K97" s="22">
        <v>81267745</v>
      </c>
      <c r="L97" s="7">
        <v>45609</v>
      </c>
      <c r="M97" s="11">
        <v>403.88</v>
      </c>
      <c r="N97" s="6" t="s">
        <v>88</v>
      </c>
      <c r="O97" s="5">
        <v>71058283</v>
      </c>
      <c r="P97" s="29" t="s">
        <v>89</v>
      </c>
      <c r="Q97" s="4">
        <f>IF(ISBLANK(OHMeter[[#This Row],[PO Number]]),"",IF(ISBLANK(OHMeter[[#This Row],[Recv Date]]),0,1))</f>
        <v>1</v>
      </c>
      <c r="R97" s="41"/>
    </row>
    <row r="98" spans="1:23" ht="15.6" x14ac:dyDescent="0.3">
      <c r="A98" s="5">
        <f>IF(ISBLANK(OHMeter[[#This Row],[OpCo2]]),"",COUNTA(OHMeter[[#This Row],[OpCo2]])-(COUNTA(OHMeter[[#This Row],[OpCo2]])-ROW(OHMeter[[#This Row],[OpCo2]])+1))</f>
        <v>97</v>
      </c>
      <c r="B98" s="5" t="s">
        <v>17</v>
      </c>
      <c r="C98" s="6" t="s">
        <v>2</v>
      </c>
      <c r="D98" s="6" t="s">
        <v>1</v>
      </c>
      <c r="E98" s="5" t="s">
        <v>137</v>
      </c>
      <c r="F98" s="18">
        <v>622774474</v>
      </c>
      <c r="G98" s="19">
        <v>622774569</v>
      </c>
      <c r="H98" s="5">
        <f>IF(AND(ISBLANK(OHMeter[[#This Row],[Beg Ser]]),ISBLANK(OHMeter[[#This Row],[End Ser]])),"",OHMeter[[#This Row],[End Ser]]-OHMeter[[#This Row],[Beg Ser]]+1)</f>
        <v>96</v>
      </c>
      <c r="I98" s="7">
        <v>44634</v>
      </c>
      <c r="J98" s="7"/>
      <c r="K98" s="22">
        <v>80563978</v>
      </c>
      <c r="L98" s="7">
        <v>45609</v>
      </c>
      <c r="M98" s="11">
        <v>215.16</v>
      </c>
      <c r="N98" s="6" t="s">
        <v>138</v>
      </c>
      <c r="O98" s="5">
        <v>99114976</v>
      </c>
      <c r="P98" s="29" t="s">
        <v>137</v>
      </c>
      <c r="Q98" s="4">
        <f>IF(ISBLANK(OHMeter[[#This Row],[PO Number]]),"",IF(ISBLANK(OHMeter[[#This Row],[Recv Date]]),0,1))</f>
        <v>1</v>
      </c>
      <c r="R98" s="41"/>
    </row>
    <row r="99" spans="1:23" ht="15.6" x14ac:dyDescent="0.3">
      <c r="A99" s="5">
        <f>IF(ISBLANK(OHMeter[[#This Row],[OpCo2]]),"",COUNTA(OHMeter[[#This Row],[OpCo2]])-(COUNTA(OHMeter[[#This Row],[OpCo2]])-ROW(OHMeter[[#This Row],[OpCo2]])+1))</f>
        <v>98</v>
      </c>
      <c r="B99" s="5" t="s">
        <v>17</v>
      </c>
      <c r="C99" s="6" t="s">
        <v>2</v>
      </c>
      <c r="D99" s="6" t="s">
        <v>1</v>
      </c>
      <c r="E99" s="5" t="s">
        <v>62</v>
      </c>
      <c r="F99" s="18">
        <v>922608402</v>
      </c>
      <c r="G99" s="19">
        <v>922618481</v>
      </c>
      <c r="H99" s="5">
        <f>IF(AND(ISBLANK(OHMeter[[#This Row],[Beg Ser]]),ISBLANK(OHMeter[[#This Row],[End Ser]])),"",OHMeter[[#This Row],[End Ser]]-OHMeter[[#This Row],[Beg Ser]]+1)</f>
        <v>10080</v>
      </c>
      <c r="I99" s="7">
        <v>44614</v>
      </c>
      <c r="J99" s="7"/>
      <c r="K99" s="22">
        <v>80522643</v>
      </c>
      <c r="L99" s="7">
        <v>45611</v>
      </c>
      <c r="M99" s="11">
        <v>113.71</v>
      </c>
      <c r="N99" s="6" t="s">
        <v>73</v>
      </c>
      <c r="O99" s="5">
        <v>99038745</v>
      </c>
      <c r="P99" s="29" t="s">
        <v>62</v>
      </c>
      <c r="Q99" s="4">
        <f>IF(ISBLANK(OHMeter[[#This Row],[PO Number]]),"",IF(ISBLANK(OHMeter[[#This Row],[Recv Date]]),0,1))</f>
        <v>1</v>
      </c>
      <c r="R99" s="41"/>
    </row>
    <row r="100" spans="1:23" ht="15.6" x14ac:dyDescent="0.3">
      <c r="A100" s="5">
        <f>IF(ISBLANK(OHMeter[[#This Row],[OpCo2]]),"",COUNTA(OHMeter[[#This Row],[OpCo2]])-(COUNTA(OHMeter[[#This Row],[OpCo2]])-ROW(OHMeter[[#This Row],[OpCo2]])+1))</f>
        <v>99</v>
      </c>
      <c r="B100" s="5" t="s">
        <v>17</v>
      </c>
      <c r="C100" s="6" t="s">
        <v>2</v>
      </c>
      <c r="D100" s="6" t="s">
        <v>1</v>
      </c>
      <c r="E100" s="5" t="s">
        <v>0</v>
      </c>
      <c r="F100" s="18">
        <v>622775530</v>
      </c>
      <c r="G100" s="19">
        <v>622776489</v>
      </c>
      <c r="H100" s="5">
        <f>IF(AND(ISBLANK(OHMeter[[#This Row],[Beg Ser]]),ISBLANK(OHMeter[[#This Row],[End Ser]])),"",OHMeter[[#This Row],[End Ser]]-OHMeter[[#This Row],[Beg Ser]]+1)</f>
        <v>960</v>
      </c>
      <c r="I100" s="7">
        <v>44634</v>
      </c>
      <c r="J100" s="7"/>
      <c r="K100" s="22">
        <v>80563979</v>
      </c>
      <c r="L100" s="7">
        <v>45611</v>
      </c>
      <c r="M100" s="11">
        <v>215.16</v>
      </c>
      <c r="N100" s="6" t="s">
        <v>95</v>
      </c>
      <c r="O100" s="5">
        <v>99114973</v>
      </c>
      <c r="P100" s="29" t="s">
        <v>0</v>
      </c>
      <c r="Q100" s="4">
        <f>IF(ISBLANK(OHMeter[[#This Row],[PO Number]]),"",IF(ISBLANK(OHMeter[[#This Row],[Recv Date]]),0,1))</f>
        <v>1</v>
      </c>
      <c r="R100" s="41"/>
    </row>
    <row r="101" spans="1:23" ht="15.6" x14ac:dyDescent="0.3">
      <c r="A101" s="5">
        <f>IF(ISBLANK(OHMeter[[#This Row],[OpCo2]]),"",COUNTA(OHMeter[[#This Row],[OpCo2]])-(COUNTA(OHMeter[[#This Row],[OpCo2]])-ROW(OHMeter[[#This Row],[OpCo2]])+1))</f>
        <v>100</v>
      </c>
      <c r="B101" s="5" t="s">
        <v>17</v>
      </c>
      <c r="C101" s="6" t="s">
        <v>2</v>
      </c>
      <c r="D101" s="6" t="s">
        <v>1</v>
      </c>
      <c r="E101" s="5" t="s">
        <v>122</v>
      </c>
      <c r="F101" s="18">
        <v>922628562</v>
      </c>
      <c r="G101" s="19">
        <v>922628681</v>
      </c>
      <c r="H101" s="5">
        <f>IF(AND(ISBLANK(OHMeter[[#This Row],[Beg Ser]]),ISBLANK(OHMeter[[#This Row],[End Ser]])),"",OHMeter[[#This Row],[End Ser]]-OHMeter[[#This Row],[Beg Ser]]+1)</f>
        <v>120</v>
      </c>
      <c r="I101" s="7">
        <v>44634</v>
      </c>
      <c r="J101" s="7"/>
      <c r="K101" s="22">
        <v>80563979</v>
      </c>
      <c r="L101" s="7">
        <v>45615</v>
      </c>
      <c r="M101" s="11">
        <v>165.73</v>
      </c>
      <c r="N101" s="6" t="s">
        <v>123</v>
      </c>
      <c r="O101" s="5">
        <v>99038726</v>
      </c>
      <c r="P101" s="29" t="s">
        <v>122</v>
      </c>
      <c r="Q101" s="4">
        <f>IF(ISBLANK(OHMeter[[#This Row],[PO Number]]),"",IF(ISBLANK(OHMeter[[#This Row],[Recv Date]]),0,1))</f>
        <v>1</v>
      </c>
      <c r="R101" s="41"/>
    </row>
    <row r="102" spans="1:23" ht="15.6" x14ac:dyDescent="0.3">
      <c r="A102" s="5">
        <f>IF(ISBLANK(OHMeter[[#This Row],[OpCo2]]),"",COUNTA(OHMeter[[#This Row],[OpCo2]])-(COUNTA(OHMeter[[#This Row],[OpCo2]])-ROW(OHMeter[[#This Row],[OpCo2]])+1))</f>
        <v>101</v>
      </c>
      <c r="B102" s="5" t="s">
        <v>17</v>
      </c>
      <c r="C102" s="6" t="s">
        <v>2</v>
      </c>
      <c r="D102" s="6" t="s">
        <v>1</v>
      </c>
      <c r="E102" s="5" t="s">
        <v>62</v>
      </c>
      <c r="F102" s="18">
        <v>922618482</v>
      </c>
      <c r="G102" s="19">
        <v>922628561</v>
      </c>
      <c r="H102" s="5">
        <f>IF(AND(ISBLANK(OHMeter[[#This Row],[Beg Ser]]),ISBLANK(OHMeter[[#This Row],[End Ser]])),"",OHMeter[[#This Row],[End Ser]]-OHMeter[[#This Row],[Beg Ser]]+1)</f>
        <v>10080</v>
      </c>
      <c r="I102" s="7">
        <v>44614</v>
      </c>
      <c r="J102" s="7"/>
      <c r="K102" s="22">
        <v>80522643</v>
      </c>
      <c r="L102" s="7">
        <v>45616</v>
      </c>
      <c r="M102" s="11">
        <v>113.71</v>
      </c>
      <c r="N102" s="6" t="s">
        <v>73</v>
      </c>
      <c r="O102" s="5">
        <v>99038745</v>
      </c>
      <c r="P102" s="29" t="s">
        <v>62</v>
      </c>
      <c r="Q102" s="4">
        <f>IF(ISBLANK(OHMeter[[#This Row],[PO Number]]),"",IF(ISBLANK(OHMeter[[#This Row],[Recv Date]]),0,1))</f>
        <v>1</v>
      </c>
      <c r="R102" s="41"/>
    </row>
    <row r="103" spans="1:23" ht="15.6" x14ac:dyDescent="0.3">
      <c r="A103" s="5">
        <f>IF(ISBLANK(OHMeter[[#This Row],[OpCo2]]),"",COUNTA(OHMeter[[#This Row],[OpCo2]])-(COUNTA(OHMeter[[#This Row],[OpCo2]])-ROW(OHMeter[[#This Row],[OpCo2]])+1))</f>
        <v>102</v>
      </c>
      <c r="B103" s="5" t="s">
        <v>17</v>
      </c>
      <c r="C103" s="6" t="s">
        <v>2</v>
      </c>
      <c r="D103" s="6" t="s">
        <v>1</v>
      </c>
      <c r="E103" s="5" t="s">
        <v>126</v>
      </c>
      <c r="F103" s="18">
        <v>922742009</v>
      </c>
      <c r="G103" s="19">
        <v>922742848</v>
      </c>
      <c r="H103" s="5">
        <f>IF(AND(ISBLANK(OHMeter[[#This Row],[Beg Ser]]),ISBLANK(OHMeter[[#This Row],[End Ser]])),"",OHMeter[[#This Row],[End Ser]]-OHMeter[[#This Row],[Beg Ser]]+1)</f>
        <v>840</v>
      </c>
      <c r="I103" s="7">
        <v>44634</v>
      </c>
      <c r="J103" s="7"/>
      <c r="K103" s="22">
        <v>80563979</v>
      </c>
      <c r="L103" s="7">
        <v>45621</v>
      </c>
      <c r="M103" s="11">
        <v>131.24</v>
      </c>
      <c r="N103" s="6" t="s">
        <v>146</v>
      </c>
      <c r="O103" s="5">
        <v>99038746</v>
      </c>
      <c r="P103" s="29" t="s">
        <v>126</v>
      </c>
      <c r="Q103" s="4">
        <f>IF(ISBLANK(OHMeter[[#This Row],[PO Number]]),"",IF(ISBLANK(OHMeter[[#This Row],[Recv Date]]),0,1))</f>
        <v>1</v>
      </c>
      <c r="R103" s="41"/>
      <c r="S103" s="79"/>
      <c r="T103" s="79"/>
      <c r="U103" s="79"/>
      <c r="V103" s="79"/>
      <c r="W103" s="79"/>
    </row>
    <row r="104" spans="1:23" ht="15.6" x14ac:dyDescent="0.3">
      <c r="A104" s="5">
        <f>IF(ISBLANK(OHMeter[[#This Row],[OpCo2]]),"",COUNTA(OHMeter[[#This Row],[OpCo2]])-(COUNTA(OHMeter[[#This Row],[OpCo2]])-ROW(OHMeter[[#This Row],[OpCo2]])+1))</f>
        <v>103</v>
      </c>
      <c r="B104" s="5" t="s">
        <v>17</v>
      </c>
      <c r="C104" s="6" t="s">
        <v>2</v>
      </c>
      <c r="D104" s="6" t="s">
        <v>1</v>
      </c>
      <c r="E104" s="5" t="s">
        <v>126</v>
      </c>
      <c r="F104" s="18">
        <v>922742969</v>
      </c>
      <c r="G104" s="19">
        <v>922743448</v>
      </c>
      <c r="H104" s="5">
        <f>IF(AND(ISBLANK(OHMeter[[#This Row],[Beg Ser]]),ISBLANK(OHMeter[[#This Row],[End Ser]])),"",OHMeter[[#This Row],[End Ser]]-OHMeter[[#This Row],[Beg Ser]]+1)</f>
        <v>480</v>
      </c>
      <c r="I104" s="7">
        <v>44634</v>
      </c>
      <c r="J104" s="7"/>
      <c r="K104" s="22">
        <v>80563979</v>
      </c>
      <c r="L104" s="7">
        <v>45621</v>
      </c>
      <c r="M104" s="11">
        <v>131.24</v>
      </c>
      <c r="N104" s="6" t="s">
        <v>146</v>
      </c>
      <c r="O104" s="5">
        <v>99038746</v>
      </c>
      <c r="P104" s="29" t="s">
        <v>126</v>
      </c>
      <c r="Q104" s="4">
        <f>IF(ISBLANK(OHMeter[[#This Row],[PO Number]]),"",IF(ISBLANK(OHMeter[[#This Row],[Recv Date]]),0,1))</f>
        <v>1</v>
      </c>
      <c r="R104" s="41"/>
      <c r="S104" s="79"/>
      <c r="T104" s="79"/>
      <c r="U104" s="79"/>
      <c r="V104" s="79"/>
      <c r="W104" s="79"/>
    </row>
    <row r="105" spans="1:23" ht="15.6" x14ac:dyDescent="0.3">
      <c r="A105" s="5">
        <f>IF(ISBLANK(OHMeter[[#This Row],[OpCo2]]),"",COUNTA(OHMeter[[#This Row],[OpCo2]])-(COUNTA(OHMeter[[#This Row],[OpCo2]])-ROW(OHMeter[[#This Row],[OpCo2]])+1))</f>
        <v>104</v>
      </c>
      <c r="B105" s="5" t="s">
        <v>17</v>
      </c>
      <c r="C105" s="6" t="s">
        <v>2</v>
      </c>
      <c r="D105" s="6" t="s">
        <v>1</v>
      </c>
      <c r="E105" s="5" t="s">
        <v>126</v>
      </c>
      <c r="F105" s="18">
        <v>922742849</v>
      </c>
      <c r="G105" s="19">
        <v>922742968</v>
      </c>
      <c r="H105" s="5">
        <f>IF(AND(ISBLANK(OHMeter[[#This Row],[Beg Ser]]),ISBLANK(OHMeter[[#This Row],[End Ser]])),"",OHMeter[[#This Row],[End Ser]]-OHMeter[[#This Row],[Beg Ser]]+1)</f>
        <v>120</v>
      </c>
      <c r="I105" s="7">
        <v>44634</v>
      </c>
      <c r="J105" s="7"/>
      <c r="K105" s="22">
        <v>80563979</v>
      </c>
      <c r="L105" s="7">
        <v>45656</v>
      </c>
      <c r="M105" s="11">
        <v>131.24</v>
      </c>
      <c r="N105" s="6" t="s">
        <v>146</v>
      </c>
      <c r="O105" s="5">
        <v>99038746</v>
      </c>
      <c r="P105" s="29" t="s">
        <v>126</v>
      </c>
      <c r="Q105" s="4">
        <f>IF(ISBLANK(OHMeter[[#This Row],[PO Number]]),"",IF(ISBLANK(OHMeter[[#This Row],[Recv Date]]),0,1))</f>
        <v>1</v>
      </c>
      <c r="R105" s="41"/>
      <c r="S105" s="79"/>
      <c r="T105" s="79"/>
      <c r="U105" s="79"/>
      <c r="V105" s="79"/>
      <c r="W105" s="79"/>
    </row>
    <row r="106" spans="1:23" ht="15.6" x14ac:dyDescent="0.3">
      <c r="A106" s="5">
        <f>IF(ISBLANK(OHMeter[[#This Row],[OpCo2]]),"",COUNTA(OHMeter[[#This Row],[OpCo2]])-(COUNTA(OHMeter[[#This Row],[OpCo2]])-ROW(OHMeter[[#This Row],[OpCo2]])+1))</f>
        <v>105</v>
      </c>
      <c r="B106" s="5" t="s">
        <v>17</v>
      </c>
      <c r="C106" s="6" t="s">
        <v>2</v>
      </c>
      <c r="D106" s="6" t="s">
        <v>1</v>
      </c>
      <c r="E106" s="5" t="s">
        <v>71</v>
      </c>
      <c r="F106" s="18">
        <v>922628682</v>
      </c>
      <c r="G106" s="19">
        <v>922628921</v>
      </c>
      <c r="H106" s="5">
        <f>IF(AND(ISBLANK(OHMeter[[#This Row],[Beg Ser]]),ISBLANK(OHMeter[[#This Row],[End Ser]])),"",OHMeter[[#This Row],[End Ser]]-OHMeter[[#This Row],[Beg Ser]]+1)</f>
        <v>240</v>
      </c>
      <c r="I106" s="7">
        <v>44634</v>
      </c>
      <c r="J106" s="7"/>
      <c r="K106" s="22">
        <v>80563979</v>
      </c>
      <c r="L106" s="7">
        <v>45621</v>
      </c>
      <c r="M106" s="11">
        <v>160.69</v>
      </c>
      <c r="N106" s="6" t="s">
        <v>72</v>
      </c>
      <c r="O106" s="5">
        <v>99038747</v>
      </c>
      <c r="P106" s="29" t="s">
        <v>71</v>
      </c>
      <c r="Q106" s="4">
        <f>IF(ISBLANK(OHMeter[[#This Row],[PO Number]]),"",IF(ISBLANK(OHMeter[[#This Row],[Recv Date]]),0,1))</f>
        <v>1</v>
      </c>
      <c r="R106" s="41"/>
    </row>
    <row r="107" spans="1:23" ht="15.6" x14ac:dyDescent="0.3">
      <c r="A107" s="5">
        <f>IF(ISBLANK(OHMeter[[#This Row],[OpCo2]]),"",COUNTA(OHMeter[[#This Row],[OpCo2]])-(COUNTA(OHMeter[[#This Row],[OpCo2]])-ROW(OHMeter[[#This Row],[OpCo2]])+1))</f>
        <v>106</v>
      </c>
      <c r="B107" s="5" t="s">
        <v>17</v>
      </c>
      <c r="C107" s="6" t="s">
        <v>2</v>
      </c>
      <c r="D107" s="6" t="s">
        <v>1</v>
      </c>
      <c r="E107" s="5" t="s">
        <v>85</v>
      </c>
      <c r="F107" s="18">
        <v>622774570</v>
      </c>
      <c r="G107" s="19">
        <v>622775529</v>
      </c>
      <c r="H107" s="5">
        <f>IF(AND(ISBLANK(OHMeter[[#This Row],[Beg Ser]]),ISBLANK(OHMeter[[#This Row],[End Ser]])),"",OHMeter[[#This Row],[End Ser]]-OHMeter[[#This Row],[Beg Ser]]+1)</f>
        <v>960</v>
      </c>
      <c r="I107" s="7">
        <v>44634</v>
      </c>
      <c r="J107" s="7"/>
      <c r="K107" s="22">
        <v>80563979</v>
      </c>
      <c r="L107" s="7">
        <v>45622</v>
      </c>
      <c r="M107" s="11">
        <v>215.16</v>
      </c>
      <c r="N107" s="6" t="s">
        <v>87</v>
      </c>
      <c r="O107" s="5">
        <v>99114972</v>
      </c>
      <c r="P107" s="29" t="s">
        <v>85</v>
      </c>
      <c r="Q107" s="4">
        <f>IF(ISBLANK(OHMeter[[#This Row],[PO Number]]),"",IF(ISBLANK(OHMeter[[#This Row],[Recv Date]]),0,1))</f>
        <v>1</v>
      </c>
      <c r="R107" s="41"/>
    </row>
    <row r="108" spans="1:23" ht="15.6" x14ac:dyDescent="0.3">
      <c r="A108" s="5">
        <f>IF(ISBLANK(OHMeter[[#This Row],[OpCo2]]),"",COUNTA(OHMeter[[#This Row],[OpCo2]])-(COUNTA(OHMeter[[#This Row],[OpCo2]])-ROW(OHMeter[[#This Row],[OpCo2]])+1))</f>
        <v>107</v>
      </c>
      <c r="B108" s="5" t="s">
        <v>17</v>
      </c>
      <c r="C108" s="6" t="s">
        <v>2</v>
      </c>
      <c r="D108" s="6" t="s">
        <v>1</v>
      </c>
      <c r="E108" s="5" t="s">
        <v>62</v>
      </c>
      <c r="F108" s="18">
        <v>922797010</v>
      </c>
      <c r="G108" s="19">
        <v>922807089</v>
      </c>
      <c r="H108" s="5">
        <f>IF(AND(ISBLANK(OHMeter[[#This Row],[Beg Ser]]),ISBLANK(OHMeter[[#This Row],[End Ser]])),"",OHMeter[[#This Row],[End Ser]]-OHMeter[[#This Row],[Beg Ser]]+1)</f>
        <v>10080</v>
      </c>
      <c r="I108" s="7">
        <v>44617</v>
      </c>
      <c r="J108" s="7"/>
      <c r="K108" s="22">
        <v>80528690</v>
      </c>
      <c r="L108" s="7">
        <v>45622</v>
      </c>
      <c r="M108" s="11">
        <v>113.71</v>
      </c>
      <c r="N108" s="6" t="s">
        <v>73</v>
      </c>
      <c r="O108" s="5">
        <v>99038745</v>
      </c>
      <c r="P108" s="29" t="s">
        <v>62</v>
      </c>
      <c r="Q108" s="4">
        <f>IF(ISBLANK(OHMeter[[#This Row],[PO Number]]),"",IF(ISBLANK(OHMeter[[#This Row],[Recv Date]]),0,1))</f>
        <v>1</v>
      </c>
      <c r="R108" s="41"/>
    </row>
    <row r="109" spans="1:23" ht="15.6" x14ac:dyDescent="0.3">
      <c r="A109" s="5">
        <f>IF(ISBLANK(OHMeter[[#This Row],[OpCo2]]),"",COUNTA(OHMeter[[#This Row],[OpCo2]])-(COUNTA(OHMeter[[#This Row],[OpCo2]])-ROW(OHMeter[[#This Row],[OpCo2]])+1))</f>
        <v>108</v>
      </c>
      <c r="B109" s="5" t="s">
        <v>17</v>
      </c>
      <c r="C109" s="6" t="s">
        <v>2</v>
      </c>
      <c r="D109" s="6" t="s">
        <v>1</v>
      </c>
      <c r="E109" s="5" t="s">
        <v>71</v>
      </c>
      <c r="F109" s="18">
        <v>922968191</v>
      </c>
      <c r="G109" s="19">
        <v>922968670</v>
      </c>
      <c r="H109" s="5">
        <f>IF(AND(ISBLANK(OHMeter[[#This Row],[Beg Ser]]),ISBLANK(OHMeter[[#This Row],[End Ser]])),"",OHMeter[[#This Row],[End Ser]]-OHMeter[[#This Row],[Beg Ser]]+1)</f>
        <v>480</v>
      </c>
      <c r="I109" s="7">
        <v>45387</v>
      </c>
      <c r="J109" s="7"/>
      <c r="K109" s="22">
        <v>81320676</v>
      </c>
      <c r="L109" s="7">
        <v>45637</v>
      </c>
      <c r="M109" s="11">
        <v>160.69</v>
      </c>
      <c r="N109" s="6" t="s">
        <v>72</v>
      </c>
      <c r="O109" s="5">
        <v>99038747</v>
      </c>
      <c r="P109" s="29" t="s">
        <v>71</v>
      </c>
      <c r="Q109" s="4">
        <f>IF(ISBLANK(OHMeter[[#This Row],[PO Number]]),"",IF(ISBLANK(OHMeter[[#This Row],[Recv Date]]),0,1))</f>
        <v>1</v>
      </c>
      <c r="R109" s="41"/>
    </row>
    <row r="110" spans="1:23" ht="15.6" x14ac:dyDescent="0.3">
      <c r="A110" s="5">
        <f>IF(ISBLANK(OHMeter[[#This Row],[OpCo2]]),"",COUNTA(OHMeter[[#This Row],[OpCo2]])-(COUNTA(OHMeter[[#This Row],[OpCo2]])-ROW(OHMeter[[#This Row],[OpCo2]])+1))</f>
        <v>109</v>
      </c>
      <c r="B110" s="5" t="s">
        <v>17</v>
      </c>
      <c r="C110" s="6" t="s">
        <v>2</v>
      </c>
      <c r="D110" s="6" t="s">
        <v>1</v>
      </c>
      <c r="E110" s="5" t="s">
        <v>62</v>
      </c>
      <c r="F110" s="18">
        <v>922952871</v>
      </c>
      <c r="G110" s="19">
        <v>922962950</v>
      </c>
      <c r="H110" s="5">
        <f>IF(AND(ISBLANK(OHMeter[[#This Row],[Beg Ser]]),ISBLANK(OHMeter[[#This Row],[End Ser]])),"",OHMeter[[#This Row],[End Ser]]-OHMeter[[#This Row],[Beg Ser]]+1)</f>
        <v>10080</v>
      </c>
      <c r="I110" s="7">
        <v>44634</v>
      </c>
      <c r="J110" s="7"/>
      <c r="K110" s="22">
        <v>80563979</v>
      </c>
      <c r="L110" s="7">
        <v>45649</v>
      </c>
      <c r="M110" s="11">
        <v>113.71</v>
      </c>
      <c r="N110" s="6" t="s">
        <v>73</v>
      </c>
      <c r="O110" s="5">
        <v>99038745</v>
      </c>
      <c r="P110" s="29" t="s">
        <v>62</v>
      </c>
      <c r="Q110" s="4">
        <f>IF(ISBLANK(OHMeter[[#This Row],[PO Number]]),"",IF(ISBLANK(OHMeter[[#This Row],[Recv Date]]),0,1))</f>
        <v>1</v>
      </c>
      <c r="R110" s="41"/>
    </row>
    <row r="111" spans="1:23" ht="15.6" x14ac:dyDescent="0.3">
      <c r="A111" s="5">
        <f>IF(ISBLANK(OHMeter[[#This Row],[OpCo2]]),"",COUNTA(OHMeter[[#This Row],[OpCo2]])-(COUNTA(OHMeter[[#This Row],[OpCo2]])-ROW(OHMeter[[#This Row],[OpCo2]])+1))</f>
        <v>110</v>
      </c>
      <c r="B111" s="5" t="s">
        <v>17</v>
      </c>
      <c r="C111" s="6" t="s">
        <v>2</v>
      </c>
      <c r="D111" s="6" t="s">
        <v>1</v>
      </c>
      <c r="E111" s="5" t="s">
        <v>128</v>
      </c>
      <c r="F111" s="18">
        <v>622931142</v>
      </c>
      <c r="G111" s="19">
        <v>622931333</v>
      </c>
      <c r="H111" s="5">
        <f>IF(AND(ISBLANK(OHMeter[[#This Row],[Beg Ser]]),ISBLANK(OHMeter[[#This Row],[End Ser]])),"",OHMeter[[#This Row],[End Ser]]-OHMeter[[#This Row],[Beg Ser]]+1)</f>
        <v>192</v>
      </c>
      <c r="I111" s="7">
        <v>44634</v>
      </c>
      <c r="J111" s="7"/>
      <c r="K111" s="22">
        <v>80563978</v>
      </c>
      <c r="L111" s="7">
        <v>45649</v>
      </c>
      <c r="M111" s="11">
        <v>225.98</v>
      </c>
      <c r="N111" s="6" t="s">
        <v>131</v>
      </c>
      <c r="O111" s="5">
        <v>99114975</v>
      </c>
      <c r="P111" s="29" t="s">
        <v>128</v>
      </c>
      <c r="Q111" s="4">
        <f>IF(ISBLANK(OHMeter[[#This Row],[PO Number]]),"",IF(ISBLANK(OHMeter[[#This Row],[Recv Date]]),0,1))</f>
        <v>1</v>
      </c>
      <c r="R111" s="41"/>
    </row>
    <row r="112" spans="1:23" ht="15.6" x14ac:dyDescent="0.3">
      <c r="A112" s="5">
        <f>IF(ISBLANK(OHMeter[[#This Row],[OpCo2]]),"",COUNTA(OHMeter[[#This Row],[OpCo2]])-(COUNTA(OHMeter[[#This Row],[OpCo2]])-ROW(OHMeter[[#This Row],[OpCo2]])+1))</f>
        <v>111</v>
      </c>
      <c r="B112" s="5" t="s">
        <v>17</v>
      </c>
      <c r="C112" s="6" t="s">
        <v>2</v>
      </c>
      <c r="D112" s="6" t="s">
        <v>1</v>
      </c>
      <c r="E112" s="5" t="s">
        <v>62</v>
      </c>
      <c r="F112" s="18">
        <v>922731929</v>
      </c>
      <c r="G112" s="19">
        <v>922742008</v>
      </c>
      <c r="H112" s="5">
        <f>IF(AND(ISBLANK(OHMeter[[#This Row],[Beg Ser]]),ISBLANK(OHMeter[[#This Row],[End Ser]])),"",OHMeter[[#This Row],[End Ser]]-OHMeter[[#This Row],[Beg Ser]]+1)</f>
        <v>10080</v>
      </c>
      <c r="I112" s="7">
        <v>44634</v>
      </c>
      <c r="J112" s="7"/>
      <c r="K112" s="22">
        <v>80563979</v>
      </c>
      <c r="L112" s="7">
        <v>45649</v>
      </c>
      <c r="M112" s="11">
        <v>113.71</v>
      </c>
      <c r="N112" s="6" t="s">
        <v>73</v>
      </c>
      <c r="O112" s="5">
        <v>99038745</v>
      </c>
      <c r="P112" s="29" t="s">
        <v>62</v>
      </c>
      <c r="Q112" s="4">
        <f>IF(ISBLANK(OHMeter[[#This Row],[PO Number]]),"",IF(ISBLANK(OHMeter[[#This Row],[Recv Date]]),0,1))</f>
        <v>1</v>
      </c>
      <c r="R112" s="41"/>
    </row>
    <row r="113" spans="1:18" ht="15.6" x14ac:dyDescent="0.3">
      <c r="A113" s="5">
        <f>IF(ISBLANK(OHMeter[[#This Row],[OpCo2]]),"",COUNTA(OHMeter[[#This Row],[OpCo2]])-(COUNTA(OHMeter[[#This Row],[OpCo2]])-ROW(OHMeter[[#This Row],[OpCo2]])+1))</f>
        <v>112</v>
      </c>
      <c r="B113" s="5" t="s">
        <v>17</v>
      </c>
      <c r="C113" s="6" t="s">
        <v>2</v>
      </c>
      <c r="D113" s="6" t="s">
        <v>1</v>
      </c>
      <c r="E113" s="5" t="s">
        <v>71</v>
      </c>
      <c r="F113" s="18">
        <v>921450693</v>
      </c>
      <c r="G113" s="19">
        <v>921450812</v>
      </c>
      <c r="H113" s="5">
        <f>IF(AND(ISBLANK(OHMeter[[#This Row],[Beg Ser]]),ISBLANK(OHMeter[[#This Row],[End Ser]])),"",OHMeter[[#This Row],[End Ser]]-OHMeter[[#This Row],[Beg Ser]]+1)</f>
        <v>120</v>
      </c>
      <c r="I113" s="7">
        <v>45260</v>
      </c>
      <c r="J113" s="7"/>
      <c r="K113" s="22">
        <v>81257273</v>
      </c>
      <c r="L113" s="7">
        <v>45680</v>
      </c>
      <c r="M113" s="11">
        <v>156.01</v>
      </c>
      <c r="N113" s="6" t="s">
        <v>72</v>
      </c>
      <c r="O113" s="5">
        <v>99038747</v>
      </c>
      <c r="P113" s="29" t="s">
        <v>71</v>
      </c>
      <c r="Q113" s="4">
        <f>IF(ISBLANK(OHMeter[[#This Row],[PO Number]]),"",IF(ISBLANK(OHMeter[[#This Row],[Recv Date]]),0,1))</f>
        <v>1</v>
      </c>
      <c r="R113" s="41"/>
    </row>
    <row r="114" spans="1:18" ht="15.6" x14ac:dyDescent="0.3">
      <c r="A114" s="5">
        <f>IF(ISBLANK(OHMeter[[#This Row],[OpCo2]]),"",COUNTA(OHMeter[[#This Row],[OpCo2]])-(COUNTA(OHMeter[[#This Row],[OpCo2]])-ROW(OHMeter[[#This Row],[OpCo2]])+1))</f>
        <v>113</v>
      </c>
      <c r="B114" s="5" t="s">
        <v>17</v>
      </c>
      <c r="C114" s="6" t="s">
        <v>2</v>
      </c>
      <c r="D114" s="6" t="s">
        <v>1</v>
      </c>
      <c r="E114" s="5" t="s">
        <v>62</v>
      </c>
      <c r="F114" s="18">
        <v>922973756</v>
      </c>
      <c r="G114" s="19">
        <v>922976155</v>
      </c>
      <c r="H114" s="5">
        <f>IF(AND(ISBLANK(OHMeter[[#This Row],[Beg Ser]]),ISBLANK(OHMeter[[#This Row],[End Ser]])),"",OHMeter[[#This Row],[End Ser]]-OHMeter[[#This Row],[Beg Ser]]+1)</f>
        <v>2400</v>
      </c>
      <c r="I114" s="7">
        <v>45260</v>
      </c>
      <c r="J114" s="7"/>
      <c r="K114" s="22">
        <v>81257273</v>
      </c>
      <c r="L114" s="7">
        <v>45684</v>
      </c>
      <c r="M114" s="11">
        <v>110.4</v>
      </c>
      <c r="N114" s="6" t="s">
        <v>73</v>
      </c>
      <c r="O114" s="5">
        <v>99038745</v>
      </c>
      <c r="P114" s="29" t="s">
        <v>62</v>
      </c>
      <c r="Q114" s="4">
        <f>IF(ISBLANK(OHMeter[[#This Row],[PO Number]]),"",IF(ISBLANK(OHMeter[[#This Row],[Recv Date]]),0,1))</f>
        <v>1</v>
      </c>
      <c r="R114" s="41"/>
    </row>
    <row r="115" spans="1:18" ht="15.6" x14ac:dyDescent="0.3">
      <c r="A115" s="5">
        <f>IF(ISBLANK(OHMeter[[#This Row],[OpCo2]]),"",COUNTA(OHMeter[[#This Row],[OpCo2]])-(COUNTA(OHMeter[[#This Row],[OpCo2]])-ROW(OHMeter[[#This Row],[OpCo2]])+1))</f>
        <v>114</v>
      </c>
      <c r="B115" s="5" t="s">
        <v>17</v>
      </c>
      <c r="C115" s="6" t="s">
        <v>2</v>
      </c>
      <c r="D115" s="6" t="s">
        <v>1</v>
      </c>
      <c r="E115" s="5" t="s">
        <v>62</v>
      </c>
      <c r="F115" s="18">
        <v>923402626</v>
      </c>
      <c r="G115" s="19">
        <v>923412705</v>
      </c>
      <c r="H115" s="5">
        <f>IF(AND(ISBLANK(OHMeter[[#This Row],[Beg Ser]]),ISBLANK(OHMeter[[#This Row],[End Ser]])),"",OHMeter[[#This Row],[End Ser]]-OHMeter[[#This Row],[Beg Ser]]+1)</f>
        <v>10080</v>
      </c>
      <c r="I115" s="7">
        <v>44617</v>
      </c>
      <c r="J115" s="7"/>
      <c r="K115" s="22">
        <v>80529437</v>
      </c>
      <c r="L115" s="7">
        <v>45719</v>
      </c>
      <c r="M115" s="11">
        <v>113.71</v>
      </c>
      <c r="N115" s="6" t="s">
        <v>73</v>
      </c>
      <c r="O115" s="5">
        <v>99038745</v>
      </c>
      <c r="P115" s="29" t="s">
        <v>62</v>
      </c>
      <c r="Q115" s="4">
        <f>IF(ISBLANK(OHMeter[[#This Row],[PO Number]]),"",IF(ISBLANK(OHMeter[[#This Row],[Recv Date]]),0,1))</f>
        <v>1</v>
      </c>
      <c r="R115" s="41"/>
    </row>
    <row r="116" spans="1:18" ht="15.6" x14ac:dyDescent="0.3">
      <c r="A116" s="5">
        <f>IF(ISBLANK(OHMeter[[#This Row],[OpCo2]]),"",COUNTA(OHMeter[[#This Row],[OpCo2]])-(COUNTA(OHMeter[[#This Row],[OpCo2]])-ROW(OHMeter[[#This Row],[OpCo2]])+1))</f>
        <v>115</v>
      </c>
      <c r="B116" s="5" t="s">
        <v>17</v>
      </c>
      <c r="C116" s="6" t="s">
        <v>2</v>
      </c>
      <c r="D116" s="6" t="s">
        <v>1</v>
      </c>
      <c r="E116" s="5" t="s">
        <v>62</v>
      </c>
      <c r="F116" s="18">
        <v>923412706</v>
      </c>
      <c r="G116" s="19">
        <v>923422785</v>
      </c>
      <c r="H116" s="5">
        <f>IF(AND(ISBLANK(OHMeter[[#This Row],[Beg Ser]]),ISBLANK(OHMeter[[#This Row],[End Ser]])),"",OHMeter[[#This Row],[End Ser]]-OHMeter[[#This Row],[Beg Ser]]+1)</f>
        <v>10080</v>
      </c>
      <c r="I116" s="7">
        <v>44617</v>
      </c>
      <c r="J116" s="7"/>
      <c r="K116" s="22">
        <v>80529437</v>
      </c>
      <c r="L116" s="7">
        <v>45719</v>
      </c>
      <c r="M116" s="11">
        <v>113.71</v>
      </c>
      <c r="N116" s="6" t="s">
        <v>73</v>
      </c>
      <c r="O116" s="5">
        <v>99038745</v>
      </c>
      <c r="P116" s="29" t="s">
        <v>62</v>
      </c>
      <c r="Q116" s="4">
        <f>IF(ISBLANK(OHMeter[[#This Row],[PO Number]]),"",IF(ISBLANK(OHMeter[[#This Row],[Recv Date]]),0,1))</f>
        <v>1</v>
      </c>
      <c r="R116" s="41"/>
    </row>
    <row r="117" spans="1:18" ht="15.6" x14ac:dyDescent="0.3">
      <c r="A117" s="5">
        <f>IF(ISBLANK(OHMeter[[#This Row],[OpCo2]]),"",COUNTA(OHMeter[[#This Row],[OpCo2]])-(COUNTA(OHMeter[[#This Row],[OpCo2]])-ROW(OHMeter[[#This Row],[OpCo2]])+1))</f>
        <v>116</v>
      </c>
      <c r="B117" s="5" t="s">
        <v>17</v>
      </c>
      <c r="C117" s="6" t="s">
        <v>2</v>
      </c>
      <c r="D117" s="6" t="s">
        <v>1</v>
      </c>
      <c r="E117" s="5" t="s">
        <v>65</v>
      </c>
      <c r="F117" s="18">
        <v>922563325</v>
      </c>
      <c r="G117" s="19">
        <v>922563384</v>
      </c>
      <c r="H117" s="5">
        <f>IF(AND(ISBLANK(OHMeter[[#This Row],[Beg Ser]]),ISBLANK(OHMeter[[#This Row],[End Ser]])),"",OHMeter[[#This Row],[End Ser]]-OHMeter[[#This Row],[Beg Ser]]+1)</f>
        <v>60</v>
      </c>
      <c r="I117" s="7">
        <v>45295</v>
      </c>
      <c r="J117" s="7"/>
      <c r="K117" s="22">
        <v>81267745</v>
      </c>
      <c r="L117" s="7">
        <v>45719</v>
      </c>
      <c r="M117" s="11">
        <v>403.88</v>
      </c>
      <c r="N117" s="6" t="s">
        <v>66</v>
      </c>
      <c r="O117" s="5">
        <v>71058285</v>
      </c>
      <c r="P117" s="29" t="s">
        <v>65</v>
      </c>
      <c r="Q117" s="4">
        <f>IF(ISBLANK(OHMeter[[#This Row],[PO Number]]),"",IF(ISBLANK(OHMeter[[#This Row],[Recv Date]]),0,1))</f>
        <v>1</v>
      </c>
      <c r="R117" s="41"/>
    </row>
    <row r="118" spans="1:18" ht="15.6" x14ac:dyDescent="0.3">
      <c r="A118" s="5">
        <f>IF(ISBLANK(OHMeter[[#This Row],[OpCo2]]),"",COUNTA(OHMeter[[#This Row],[OpCo2]])-(COUNTA(OHMeter[[#This Row],[OpCo2]])-ROW(OHMeter[[#This Row],[OpCo2]])+1))</f>
        <v>117</v>
      </c>
      <c r="B118" s="5" t="s">
        <v>17</v>
      </c>
      <c r="C118" s="6" t="s">
        <v>2</v>
      </c>
      <c r="D118" s="6" t="s">
        <v>1</v>
      </c>
      <c r="E118" s="5" t="s">
        <v>137</v>
      </c>
      <c r="F118" s="18">
        <v>623592358</v>
      </c>
      <c r="G118" s="19">
        <v>623592453</v>
      </c>
      <c r="H118" s="5">
        <f>IF(AND(ISBLANK(OHMeter[[#This Row],[Beg Ser]]),ISBLANK(OHMeter[[#This Row],[End Ser]])),"",OHMeter[[#This Row],[End Ser]]-OHMeter[[#This Row],[Beg Ser]]+1)</f>
        <v>96</v>
      </c>
      <c r="I118" s="7">
        <v>44630</v>
      </c>
      <c r="J118" s="7"/>
      <c r="K118" s="22">
        <v>80561935</v>
      </c>
      <c r="L118" s="7">
        <v>45737</v>
      </c>
      <c r="M118" s="11">
        <v>215.16</v>
      </c>
      <c r="N118" s="6" t="s">
        <v>138</v>
      </c>
      <c r="O118" s="5">
        <v>99114976</v>
      </c>
      <c r="P118" s="29" t="s">
        <v>137</v>
      </c>
      <c r="Q118" s="4">
        <f>IF(ISBLANK(OHMeter[[#This Row],[PO Number]]),"",IF(ISBLANK(OHMeter[[#This Row],[Recv Date]]),0,1))</f>
        <v>1</v>
      </c>
      <c r="R118" s="41"/>
    </row>
    <row r="119" spans="1:18" ht="15.6" x14ac:dyDescent="0.3">
      <c r="A119" s="5">
        <f>IF(ISBLANK(OHMeter[[#This Row],[OpCo2]]),"",COUNTA(OHMeter[[#This Row],[OpCo2]])-(COUNTA(OHMeter[[#This Row],[OpCo2]])-ROW(OHMeter[[#This Row],[OpCo2]])+1))</f>
        <v>118</v>
      </c>
      <c r="B119" s="5" t="s">
        <v>17</v>
      </c>
      <c r="C119" s="6" t="s">
        <v>2</v>
      </c>
      <c r="D119" s="6" t="s">
        <v>1</v>
      </c>
      <c r="E119" s="5" t="s">
        <v>62</v>
      </c>
      <c r="F119" s="18">
        <v>923529134</v>
      </c>
      <c r="G119" s="19">
        <v>923539213</v>
      </c>
      <c r="H119" s="5">
        <f>IF(AND(ISBLANK(OHMeter[[#This Row],[Beg Ser]]),ISBLANK(OHMeter[[#This Row],[End Ser]])),"",OHMeter[[#This Row],[End Ser]]-OHMeter[[#This Row],[Beg Ser]]+1)</f>
        <v>10080</v>
      </c>
      <c r="I119" s="7">
        <v>44630</v>
      </c>
      <c r="J119" s="7"/>
      <c r="K119" s="22">
        <v>80561935</v>
      </c>
      <c r="L119" s="7">
        <v>45737</v>
      </c>
      <c r="M119" s="11">
        <v>113.71</v>
      </c>
      <c r="N119" s="6" t="s">
        <v>73</v>
      </c>
      <c r="O119" s="5">
        <v>99038745</v>
      </c>
      <c r="P119" s="29" t="s">
        <v>62</v>
      </c>
      <c r="Q119" s="4">
        <f>IF(ISBLANK(OHMeter[[#This Row],[PO Number]]),"",IF(ISBLANK(OHMeter[[#This Row],[Recv Date]]),0,1))</f>
        <v>1</v>
      </c>
      <c r="R119" s="41"/>
    </row>
    <row r="120" spans="1:18" ht="15.6" x14ac:dyDescent="0.3">
      <c r="A120" s="5">
        <f>IF(ISBLANK(OHMeter[[#This Row],[OpCo2]]),"",COUNTA(OHMeter[[#This Row],[OpCo2]])-(COUNTA(OHMeter[[#This Row],[OpCo2]])-ROW(OHMeter[[#This Row],[OpCo2]])+1))</f>
        <v>119</v>
      </c>
      <c r="B120" s="5" t="s">
        <v>17</v>
      </c>
      <c r="C120" s="6" t="s">
        <v>2</v>
      </c>
      <c r="D120" s="6" t="s">
        <v>1</v>
      </c>
      <c r="E120" s="5" t="s">
        <v>71</v>
      </c>
      <c r="F120" s="18">
        <v>923528714</v>
      </c>
      <c r="G120" s="19">
        <v>923529073</v>
      </c>
      <c r="H120" s="5">
        <f>IF(AND(ISBLANK(OHMeter[[#This Row],[Beg Ser]]),ISBLANK(OHMeter[[#This Row],[End Ser]])),"",OHMeter[[#This Row],[End Ser]]-OHMeter[[#This Row],[Beg Ser]]+1)</f>
        <v>360</v>
      </c>
      <c r="I120" s="7">
        <v>44630</v>
      </c>
      <c r="J120" s="7"/>
      <c r="K120" s="22">
        <v>80561935</v>
      </c>
      <c r="L120" s="7">
        <v>45743</v>
      </c>
      <c r="M120" s="11">
        <v>160.69</v>
      </c>
      <c r="N120" s="6" t="s">
        <v>72</v>
      </c>
      <c r="O120" s="5">
        <v>99038747</v>
      </c>
      <c r="P120" s="29" t="s">
        <v>71</v>
      </c>
      <c r="Q120" s="4">
        <f>IF(ISBLANK(OHMeter[[#This Row],[PO Number]]),"",IF(ISBLANK(OHMeter[[#This Row],[Recv Date]]),0,1))</f>
        <v>1</v>
      </c>
      <c r="R120" s="41"/>
    </row>
    <row r="121" spans="1:18" ht="15.6" x14ac:dyDescent="0.3">
      <c r="A121" s="5">
        <f>IF(ISBLANK(OHMeter[[#This Row],[OpCo2]]),"",COUNTA(OHMeter[[#This Row],[OpCo2]])-(COUNTA(OHMeter[[#This Row],[OpCo2]])-ROW(OHMeter[[#This Row],[OpCo2]])+1))</f>
        <v>120</v>
      </c>
      <c r="B121" s="5" t="s">
        <v>17</v>
      </c>
      <c r="C121" s="6" t="s">
        <v>2</v>
      </c>
      <c r="D121" s="6" t="s">
        <v>1</v>
      </c>
      <c r="E121" s="5" t="s">
        <v>62</v>
      </c>
      <c r="F121" s="18">
        <v>923539214</v>
      </c>
      <c r="G121" s="19">
        <v>923549293</v>
      </c>
      <c r="H121" s="5">
        <f>IF(AND(ISBLANK(OHMeter[[#This Row],[Beg Ser]]),ISBLANK(OHMeter[[#This Row],[End Ser]])),"",OHMeter[[#This Row],[End Ser]]-OHMeter[[#This Row],[Beg Ser]]+1)</f>
        <v>10080</v>
      </c>
      <c r="I121" s="7">
        <v>44630</v>
      </c>
      <c r="J121" s="7"/>
      <c r="K121" s="22">
        <v>80561935</v>
      </c>
      <c r="L121" s="7">
        <v>45743</v>
      </c>
      <c r="M121" s="11">
        <v>113.71</v>
      </c>
      <c r="N121" s="6" t="s">
        <v>73</v>
      </c>
      <c r="O121" s="5">
        <v>99038745</v>
      </c>
      <c r="P121" s="29" t="s">
        <v>62</v>
      </c>
      <c r="Q121" s="4">
        <f>IF(ISBLANK(OHMeter[[#This Row],[PO Number]]),"",IF(ISBLANK(OHMeter[[#This Row],[Recv Date]]),0,1))</f>
        <v>1</v>
      </c>
      <c r="R121" s="41"/>
    </row>
    <row r="122" spans="1:18" ht="15.6" x14ac:dyDescent="0.3">
      <c r="A122" s="5">
        <f>IF(ISBLANK(OHMeter[[#This Row],[OpCo2]]),"",COUNTA(OHMeter[[#This Row],[OpCo2]])-(COUNTA(OHMeter[[#This Row],[OpCo2]])-ROW(OHMeter[[#This Row],[OpCo2]])+1))</f>
        <v>121</v>
      </c>
      <c r="B122" s="5" t="s">
        <v>17</v>
      </c>
      <c r="C122" s="6" t="s">
        <v>2</v>
      </c>
      <c r="D122" s="6" t="s">
        <v>1</v>
      </c>
      <c r="E122" s="5" t="s">
        <v>122</v>
      </c>
      <c r="F122" s="18">
        <v>923529074</v>
      </c>
      <c r="G122" s="19">
        <v>923529133</v>
      </c>
      <c r="H122" s="5">
        <f>IF(AND(ISBLANK(OHMeter[[#This Row],[Beg Ser]]),ISBLANK(OHMeter[[#This Row],[End Ser]])),"",OHMeter[[#This Row],[End Ser]]-OHMeter[[#This Row],[Beg Ser]]+1)</f>
        <v>60</v>
      </c>
      <c r="I122" s="7">
        <v>44630</v>
      </c>
      <c r="J122" s="7"/>
      <c r="K122" s="22">
        <v>80561935</v>
      </c>
      <c r="L122" s="7">
        <v>45743</v>
      </c>
      <c r="M122" s="11">
        <v>165.73</v>
      </c>
      <c r="N122" s="6" t="s">
        <v>123</v>
      </c>
      <c r="O122" s="5">
        <v>99038726</v>
      </c>
      <c r="P122" s="29" t="s">
        <v>122</v>
      </c>
      <c r="Q122" s="4">
        <f>IF(ISBLANK(OHMeter[[#This Row],[PO Number]]),"",IF(ISBLANK(OHMeter[[#This Row],[Recv Date]]),0,1))</f>
        <v>1</v>
      </c>
      <c r="R122" s="41"/>
    </row>
    <row r="123" spans="1:18" ht="15.6" x14ac:dyDescent="0.3">
      <c r="A123" s="5">
        <f>IF(ISBLANK(OHMeter[[#This Row],[OpCo2]]),"",COUNTA(OHMeter[[#This Row],[OpCo2]])-(COUNTA(OHMeter[[#This Row],[OpCo2]])-ROW(OHMeter[[#This Row],[OpCo2]])+1))</f>
        <v>122</v>
      </c>
      <c r="B123" s="5" t="s">
        <v>17</v>
      </c>
      <c r="C123" s="6" t="s">
        <v>2</v>
      </c>
      <c r="D123" s="6" t="s">
        <v>1</v>
      </c>
      <c r="E123" s="5" t="s">
        <v>0</v>
      </c>
      <c r="F123" s="18">
        <v>623766686</v>
      </c>
      <c r="G123" s="19">
        <v>623767645</v>
      </c>
      <c r="H123" s="5">
        <f>IF(AND(ISBLANK(OHMeter[[#This Row],[Beg Ser]]),ISBLANK(OHMeter[[#This Row],[End Ser]])),"",OHMeter[[#This Row],[End Ser]]-OHMeter[[#This Row],[Beg Ser]]+1)</f>
        <v>960</v>
      </c>
      <c r="I123" s="7">
        <v>44630</v>
      </c>
      <c r="J123" s="7"/>
      <c r="K123" s="22">
        <v>80561935</v>
      </c>
      <c r="L123" s="7">
        <v>45743</v>
      </c>
      <c r="M123" s="11">
        <v>215.16</v>
      </c>
      <c r="N123" s="6" t="s">
        <v>95</v>
      </c>
      <c r="O123" s="5">
        <v>99114973</v>
      </c>
      <c r="P123" s="29" t="s">
        <v>0</v>
      </c>
      <c r="Q123" s="4">
        <f>IF(ISBLANK(OHMeter[[#This Row],[PO Number]]),"",IF(ISBLANK(OHMeter[[#This Row],[Recv Date]]),0,1))</f>
        <v>1</v>
      </c>
      <c r="R123" s="41"/>
    </row>
    <row r="124" spans="1:18" ht="15.6" x14ac:dyDescent="0.3">
      <c r="A124" s="5">
        <f>IF(ISBLANK(OHMeter[[#This Row],[OpCo2]]),"",COUNTA(OHMeter[[#This Row],[OpCo2]])-(COUNTA(OHMeter[[#This Row],[OpCo2]])-ROW(OHMeter[[#This Row],[OpCo2]])+1))</f>
        <v>123</v>
      </c>
      <c r="B124" s="5" t="s">
        <v>17</v>
      </c>
      <c r="C124" s="6" t="s">
        <v>2</v>
      </c>
      <c r="D124" s="6" t="s">
        <v>1</v>
      </c>
      <c r="E124" s="5" t="s">
        <v>71</v>
      </c>
      <c r="F124" s="18">
        <v>923783004</v>
      </c>
      <c r="G124" s="19">
        <v>923783243</v>
      </c>
      <c r="H124" s="5">
        <f>IF(AND(ISBLANK(OHMeter[[#This Row],[Beg Ser]]),ISBLANK(OHMeter[[#This Row],[End Ser]])),"",OHMeter[[#This Row],[End Ser]]-OHMeter[[#This Row],[Beg Ser]]+1)</f>
        <v>240</v>
      </c>
      <c r="I124" s="7">
        <v>45390</v>
      </c>
      <c r="J124" s="7"/>
      <c r="K124" s="22">
        <v>81321931</v>
      </c>
      <c r="L124" s="7">
        <v>45757</v>
      </c>
      <c r="M124" s="11">
        <v>160.69</v>
      </c>
      <c r="N124" s="6" t="s">
        <v>72</v>
      </c>
      <c r="O124" s="5">
        <v>99038747</v>
      </c>
      <c r="P124" s="29" t="s">
        <v>71</v>
      </c>
      <c r="Q124" s="4">
        <f>IF(ISBLANK(OHMeter[[#This Row],[PO Number]]),"",IF(ISBLANK(OHMeter[[#This Row],[Recv Date]]),0,1))</f>
        <v>1</v>
      </c>
      <c r="R124" s="41"/>
    </row>
    <row r="125" spans="1:18" ht="15.6" x14ac:dyDescent="0.3">
      <c r="A125" s="5">
        <f>IF(ISBLANK(OHMeter[[#This Row],[OpCo2]]),"",COUNTA(OHMeter[[#This Row],[OpCo2]])-(COUNTA(OHMeter[[#This Row],[OpCo2]])-ROW(OHMeter[[#This Row],[OpCo2]])+1))</f>
        <v>124</v>
      </c>
      <c r="B125" s="5" t="s">
        <v>17</v>
      </c>
      <c r="C125" s="6" t="s">
        <v>2</v>
      </c>
      <c r="D125" s="6" t="s">
        <v>1</v>
      </c>
      <c r="E125" s="5" t="s">
        <v>85</v>
      </c>
      <c r="F125" s="18">
        <v>623592454</v>
      </c>
      <c r="G125" s="19">
        <v>623593413</v>
      </c>
      <c r="H125" s="5">
        <f>IF(AND(ISBLANK(OHMeter[[#This Row],[Beg Ser]]),ISBLANK(OHMeter[[#This Row],[End Ser]])),"",OHMeter[[#This Row],[End Ser]]-OHMeter[[#This Row],[Beg Ser]]+1)</f>
        <v>960</v>
      </c>
      <c r="I125" s="7">
        <v>44630</v>
      </c>
      <c r="J125" s="7"/>
      <c r="K125" s="22">
        <v>80561935</v>
      </c>
      <c r="L125" s="7">
        <v>45757</v>
      </c>
      <c r="M125" s="11">
        <v>215.16</v>
      </c>
      <c r="N125" s="6" t="s">
        <v>87</v>
      </c>
      <c r="O125" s="5">
        <v>99114972</v>
      </c>
      <c r="P125" s="29" t="s">
        <v>85</v>
      </c>
      <c r="Q125" s="4">
        <f>IF(ISBLANK(OHMeter[[#This Row],[PO Number]]),"",IF(ISBLANK(OHMeter[[#This Row],[Recv Date]]),0,1))</f>
        <v>1</v>
      </c>
      <c r="R125" s="41"/>
    </row>
    <row r="126" spans="1:18" ht="15.6" x14ac:dyDescent="0.3">
      <c r="A126" s="5">
        <f>IF(ISBLANK(OHMeter[[#This Row],[OpCo2]]),"",COUNTA(OHMeter[[#This Row],[OpCo2]])-(COUNTA(OHMeter[[#This Row],[OpCo2]])-ROW(OHMeter[[#This Row],[OpCo2]])+1))</f>
        <v>125</v>
      </c>
      <c r="B126" s="5" t="s">
        <v>17</v>
      </c>
      <c r="C126" s="6" t="s">
        <v>2</v>
      </c>
      <c r="D126" s="6" t="s">
        <v>1</v>
      </c>
      <c r="E126" s="5" t="s">
        <v>126</v>
      </c>
      <c r="F126" s="18">
        <v>923559134</v>
      </c>
      <c r="G126" s="19">
        <v>923559853</v>
      </c>
      <c r="H126" s="5">
        <f>IF(AND(ISBLANK(OHMeter[[#This Row],[Beg Ser]]),ISBLANK(OHMeter[[#This Row],[End Ser]])),"",OHMeter[[#This Row],[End Ser]]-OHMeter[[#This Row],[Beg Ser]]+1)</f>
        <v>720</v>
      </c>
      <c r="I126" s="7">
        <v>44630</v>
      </c>
      <c r="J126" s="7"/>
      <c r="K126" s="22">
        <v>80561935</v>
      </c>
      <c r="L126" s="7">
        <v>45757</v>
      </c>
      <c r="M126" s="11">
        <v>131.24</v>
      </c>
      <c r="N126" s="6" t="s">
        <v>146</v>
      </c>
      <c r="O126" s="5">
        <v>99038746</v>
      </c>
      <c r="P126" s="29" t="s">
        <v>126</v>
      </c>
      <c r="Q126" s="4">
        <f>IF(ISBLANK(OHMeter[[#This Row],[PO Number]]),"",IF(ISBLANK(OHMeter[[#This Row],[Recv Date]]),0,1))</f>
        <v>1</v>
      </c>
      <c r="R126" s="41"/>
    </row>
    <row r="127" spans="1:18" ht="15.6" x14ac:dyDescent="0.3">
      <c r="A127" s="5">
        <f>IF(ISBLANK(OHMeter[[#This Row],[OpCo2]]),"",COUNTA(OHMeter[[#This Row],[OpCo2]])-(COUNTA(OHMeter[[#This Row],[OpCo2]])-ROW(OHMeter[[#This Row],[OpCo2]])+1))</f>
        <v>126</v>
      </c>
      <c r="B127" s="5" t="s">
        <v>17</v>
      </c>
      <c r="C127" s="6" t="s">
        <v>2</v>
      </c>
      <c r="D127" s="6" t="s">
        <v>1</v>
      </c>
      <c r="E127" s="5" t="s">
        <v>62</v>
      </c>
      <c r="F127" s="18">
        <v>923737324</v>
      </c>
      <c r="G127" s="19">
        <v>923747403</v>
      </c>
      <c r="H127" s="5">
        <f>IF(AND(ISBLANK(OHMeter[[#This Row],[Beg Ser]]),ISBLANK(OHMeter[[#This Row],[End Ser]])),"",OHMeter[[#This Row],[End Ser]]-OHMeter[[#This Row],[Beg Ser]]+1)</f>
        <v>10080</v>
      </c>
      <c r="I127" s="7">
        <v>44617</v>
      </c>
      <c r="J127" s="7"/>
      <c r="K127" s="22">
        <v>80529428</v>
      </c>
      <c r="L127" s="7">
        <v>45764</v>
      </c>
      <c r="M127" s="11">
        <v>113.71</v>
      </c>
      <c r="N127" s="6" t="s">
        <v>73</v>
      </c>
      <c r="O127" s="5">
        <v>99038745</v>
      </c>
      <c r="P127" s="29" t="s">
        <v>62</v>
      </c>
      <c r="Q127" s="4">
        <f>IF(ISBLANK(OHMeter[[#This Row],[PO Number]]),"",IF(ISBLANK(OHMeter[[#This Row],[Recv Date]]),0,1))</f>
        <v>1</v>
      </c>
      <c r="R127" s="41"/>
    </row>
    <row r="128" spans="1:18" ht="15.6" x14ac:dyDescent="0.3">
      <c r="A128" s="5">
        <f>IF(ISBLANK(OHMeter[[#This Row],[OpCo2]]),"",COUNTA(OHMeter[[#This Row],[OpCo2]])-(COUNTA(OHMeter[[#This Row],[OpCo2]])-ROW(OHMeter[[#This Row],[OpCo2]])+1))</f>
        <v>127</v>
      </c>
      <c r="B128" s="5" t="s">
        <v>17</v>
      </c>
      <c r="C128" s="6" t="s">
        <v>2</v>
      </c>
      <c r="D128" s="6" t="s">
        <v>1</v>
      </c>
      <c r="E128" s="5" t="s">
        <v>0</v>
      </c>
      <c r="F128" s="18">
        <v>623868724</v>
      </c>
      <c r="G128" s="19">
        <v>623868915</v>
      </c>
      <c r="H128" s="5">
        <f>IF(AND(ISBLANK(OHMeter[[#This Row],[Beg Ser]]),ISBLANK(OHMeter[[#This Row],[End Ser]])),"",OHMeter[[#This Row],[End Ser]]-OHMeter[[#This Row],[Beg Ser]]+1)</f>
        <v>192</v>
      </c>
      <c r="I128" s="7">
        <v>45390</v>
      </c>
      <c r="J128" s="7"/>
      <c r="K128" s="22">
        <v>81321931</v>
      </c>
      <c r="L128" s="7">
        <v>45764</v>
      </c>
      <c r="M128" s="11">
        <v>215.16</v>
      </c>
      <c r="N128" s="6" t="s">
        <v>95</v>
      </c>
      <c r="O128" s="5">
        <v>99114973</v>
      </c>
      <c r="P128" s="29" t="s">
        <v>0</v>
      </c>
      <c r="Q128" s="4">
        <f>IF(ISBLANK(OHMeter[[#This Row],[PO Number]]),"",IF(ISBLANK(OHMeter[[#This Row],[Recv Date]]),0,1))</f>
        <v>1</v>
      </c>
      <c r="R128" s="41"/>
    </row>
    <row r="129" spans="1:18" ht="15.6" x14ac:dyDescent="0.3">
      <c r="A129" s="5">
        <f>IF(ISBLANK(OHMeter[[#This Row],[OpCo2]]),"",COUNTA(OHMeter[[#This Row],[OpCo2]])-(COUNTA(OHMeter[[#This Row],[OpCo2]])-ROW(OHMeter[[#This Row],[OpCo2]])+1))</f>
        <v>128</v>
      </c>
      <c r="B129" s="5" t="s">
        <v>17</v>
      </c>
      <c r="C129" s="6" t="s">
        <v>2</v>
      </c>
      <c r="D129" s="6" t="s">
        <v>1</v>
      </c>
      <c r="E129" s="5" t="s">
        <v>62</v>
      </c>
      <c r="F129" s="18">
        <v>923778804</v>
      </c>
      <c r="G129" s="19">
        <v>923783003</v>
      </c>
      <c r="H129" s="5">
        <f>IF(AND(ISBLANK(OHMeter[[#This Row],[Beg Ser]]),ISBLANK(OHMeter[[#This Row],[End Ser]])),"",OHMeter[[#This Row],[End Ser]]-OHMeter[[#This Row],[Beg Ser]]+1)</f>
        <v>4200</v>
      </c>
      <c r="I129" s="7">
        <v>45390</v>
      </c>
      <c r="J129" s="7"/>
      <c r="K129" s="22">
        <v>81321931</v>
      </c>
      <c r="L129" s="7">
        <v>45771</v>
      </c>
      <c r="M129" s="11">
        <v>113.71</v>
      </c>
      <c r="N129" s="6" t="s">
        <v>73</v>
      </c>
      <c r="O129" s="5">
        <v>99038745</v>
      </c>
      <c r="P129" s="29" t="s">
        <v>62</v>
      </c>
      <c r="Q129" s="4">
        <f>IF(ISBLANK(OHMeter[[#This Row],[PO Number]]),"",IF(ISBLANK(OHMeter[[#This Row],[Recv Date]]),0,1))</f>
        <v>1</v>
      </c>
      <c r="R129" s="41"/>
    </row>
    <row r="130" spans="1:18" ht="15.6" x14ac:dyDescent="0.3">
      <c r="A130" s="5">
        <f>IF(ISBLANK(OHMeter[[#This Row],[OpCo2]]),"",COUNTA(OHMeter[[#This Row],[OpCo2]])-(COUNTA(OHMeter[[#This Row],[OpCo2]])-ROW(OHMeter[[#This Row],[OpCo2]])+1))</f>
        <v>129</v>
      </c>
      <c r="B130" s="5" t="s">
        <v>17</v>
      </c>
      <c r="C130" s="6" t="s">
        <v>2</v>
      </c>
      <c r="D130" s="6" t="s">
        <v>1</v>
      </c>
      <c r="E130" s="5" t="s">
        <v>62</v>
      </c>
      <c r="F130" s="18">
        <v>923747404</v>
      </c>
      <c r="G130" s="19">
        <v>923757483</v>
      </c>
      <c r="H130" s="5">
        <f>IF(AND(ISBLANK(OHMeter[[#This Row],[Beg Ser]]),ISBLANK(OHMeter[[#This Row],[End Ser]])),"",OHMeter[[#This Row],[End Ser]]-OHMeter[[#This Row],[Beg Ser]]+1)</f>
        <v>10080</v>
      </c>
      <c r="I130" s="7">
        <v>44617</v>
      </c>
      <c r="J130" s="7"/>
      <c r="K130" s="22">
        <v>80529428</v>
      </c>
      <c r="L130" s="7">
        <v>45775</v>
      </c>
      <c r="M130" s="11">
        <v>113.71</v>
      </c>
      <c r="N130" s="6" t="s">
        <v>73</v>
      </c>
      <c r="O130" s="5">
        <v>99038745</v>
      </c>
      <c r="P130" s="29" t="s">
        <v>62</v>
      </c>
      <c r="Q130" s="4">
        <f>IF(ISBLANK(OHMeter[[#This Row],[PO Number]]),"",IF(ISBLANK(OHMeter[[#This Row],[Recv Date]]),0,1))</f>
        <v>1</v>
      </c>
      <c r="R130" s="41"/>
    </row>
    <row r="131" spans="1:18" ht="15.6" x14ac:dyDescent="0.3">
      <c r="A131" s="5">
        <f>IF(ISBLANK(OHMeter[[#This Row],[OpCo2]]),"",COUNTA(OHMeter[[#This Row],[OpCo2]])-(COUNTA(OHMeter[[#This Row],[OpCo2]])-ROW(OHMeter[[#This Row],[OpCo2]])+1))</f>
        <v>130</v>
      </c>
      <c r="B131" s="5" t="s">
        <v>17</v>
      </c>
      <c r="C131" s="6" t="s">
        <v>2</v>
      </c>
      <c r="D131" s="6" t="s">
        <v>1</v>
      </c>
      <c r="E131" s="5" t="s">
        <v>62</v>
      </c>
      <c r="F131" s="18">
        <v>923882773</v>
      </c>
      <c r="G131" s="19">
        <v>923892852</v>
      </c>
      <c r="H131" s="5">
        <f>IF(AND(ISBLANK(OHMeter[[#This Row],[Beg Ser]]),ISBLANK(OHMeter[[#This Row],[End Ser]])),"",OHMeter[[#This Row],[End Ser]]-OHMeter[[#This Row],[Beg Ser]]+1)</f>
        <v>10080</v>
      </c>
      <c r="I131" s="7">
        <v>44617</v>
      </c>
      <c r="J131" s="7"/>
      <c r="K131" s="22">
        <v>80529430</v>
      </c>
      <c r="L131" s="7">
        <v>45796</v>
      </c>
      <c r="M131" s="11">
        <v>113.71</v>
      </c>
      <c r="N131" s="6" t="s">
        <v>73</v>
      </c>
      <c r="O131" s="5">
        <v>99038745</v>
      </c>
      <c r="P131" s="29" t="s">
        <v>62</v>
      </c>
      <c r="Q131" s="4">
        <f>IF(ISBLANK(OHMeter[[#This Row],[PO Number]]),"",IF(ISBLANK(OHMeter[[#This Row],[Recv Date]]),0,1))</f>
        <v>1</v>
      </c>
      <c r="R131" s="41"/>
    </row>
    <row r="132" spans="1:18" ht="15.6" x14ac:dyDescent="0.3">
      <c r="A132" s="5">
        <f>IF(ISBLANK(OHMeter[[#This Row],[OpCo2]]),"",COUNTA(OHMeter[[#This Row],[OpCo2]])-(COUNTA(OHMeter[[#This Row],[OpCo2]])-ROW(OHMeter[[#This Row],[OpCo2]])+1))</f>
        <v>131</v>
      </c>
      <c r="B132" s="4" t="s">
        <v>17</v>
      </c>
      <c r="C132" s="25" t="s">
        <v>2</v>
      </c>
      <c r="D132" s="25" t="s">
        <v>1</v>
      </c>
      <c r="E132" s="4" t="s">
        <v>62</v>
      </c>
      <c r="F132" s="20">
        <v>923892853</v>
      </c>
      <c r="G132" s="21">
        <v>923902932</v>
      </c>
      <c r="H132" s="5">
        <f>IF(AND(ISBLANK(OHMeter[[#This Row],[Beg Ser]]),ISBLANK(OHMeter[[#This Row],[End Ser]])),"",OHMeter[[#This Row],[End Ser]]-OHMeter[[#This Row],[Beg Ser]]+1)</f>
        <v>10080</v>
      </c>
      <c r="I132" s="7">
        <v>44617</v>
      </c>
      <c r="J132" s="7"/>
      <c r="K132" s="22">
        <v>80529430</v>
      </c>
      <c r="L132" s="7">
        <v>45802</v>
      </c>
      <c r="M132" s="11">
        <v>113.71</v>
      </c>
      <c r="N132" s="6" t="s">
        <v>73</v>
      </c>
      <c r="O132" s="5">
        <v>99038745</v>
      </c>
      <c r="P132" s="29" t="s">
        <v>62</v>
      </c>
      <c r="Q132" s="4">
        <f>IF(ISBLANK(OHMeter[[#This Row],[PO Number]]),"",IF(ISBLANK(OHMeter[[#This Row],[Recv Date]]),0,1))</f>
        <v>1</v>
      </c>
      <c r="R132" s="41"/>
    </row>
    <row r="133" spans="1:18" ht="15.6" x14ac:dyDescent="0.3">
      <c r="A133" s="5">
        <f>IF(ISBLANK(OHMeter[[#This Row],[OpCo2]]),"",COUNTA(OHMeter[[#This Row],[OpCo2]])-(COUNTA(OHMeter[[#This Row],[OpCo2]])-ROW(OHMeter[[#This Row],[OpCo2]])+1))</f>
        <v>132</v>
      </c>
      <c r="B133" s="5" t="s">
        <v>17</v>
      </c>
      <c r="C133" s="6" t="s">
        <v>2</v>
      </c>
      <c r="D133" s="6" t="s">
        <v>1</v>
      </c>
      <c r="E133" s="5" t="s">
        <v>85</v>
      </c>
      <c r="F133" s="23">
        <v>624093544</v>
      </c>
      <c r="G133" s="24">
        <v>624094023</v>
      </c>
      <c r="H133" s="5">
        <f>IF(AND(ISBLANK(OHMeter[[#This Row],[Beg Ser]]),ISBLANK(OHMeter[[#This Row],[End Ser]])),"",OHMeter[[#This Row],[End Ser]]-OHMeter[[#This Row],[Beg Ser]]+1)</f>
        <v>480</v>
      </c>
      <c r="I133" s="7">
        <v>44621</v>
      </c>
      <c r="J133" s="7"/>
      <c r="K133" s="22">
        <v>80536725</v>
      </c>
      <c r="L133" s="7">
        <v>45817</v>
      </c>
      <c r="M133" s="11">
        <v>215.16</v>
      </c>
      <c r="N133" s="6" t="s">
        <v>87</v>
      </c>
      <c r="O133" s="5">
        <v>99114972</v>
      </c>
      <c r="P133" s="29" t="s">
        <v>85</v>
      </c>
      <c r="Q133" s="5">
        <f>IF(ISBLANK(OHMeter[[#This Row],[PO Number]]),"",IF(ISBLANK(OHMeter[[#This Row],[Recv Date]]),0,1))</f>
        <v>1</v>
      </c>
      <c r="R133" s="41"/>
    </row>
    <row r="134" spans="1:18" ht="15.6" x14ac:dyDescent="0.3">
      <c r="A134" s="5">
        <f>IF(ISBLANK(OHMeter[[#This Row],[OpCo2]]),"",COUNTA(OHMeter[[#This Row],[OpCo2]])-(COUNTA(OHMeter[[#This Row],[OpCo2]])-ROW(OHMeter[[#This Row],[OpCo2]])+1))</f>
        <v>133</v>
      </c>
      <c r="B134" s="5" t="s">
        <v>17</v>
      </c>
      <c r="C134" s="6" t="s">
        <v>2</v>
      </c>
      <c r="D134" s="6" t="s">
        <v>1</v>
      </c>
      <c r="E134" s="5" t="s">
        <v>0</v>
      </c>
      <c r="F134" s="23">
        <v>624094024</v>
      </c>
      <c r="G134" s="24">
        <v>624094983</v>
      </c>
      <c r="H134" s="5">
        <f>IF(AND(ISBLANK(OHMeter[[#This Row],[Beg Ser]]),ISBLANK(OHMeter[[#This Row],[End Ser]])),"",OHMeter[[#This Row],[End Ser]]-OHMeter[[#This Row],[Beg Ser]]+1)</f>
        <v>960</v>
      </c>
      <c r="I134" s="7">
        <v>44621</v>
      </c>
      <c r="J134" s="7"/>
      <c r="K134" s="22">
        <v>80536725</v>
      </c>
      <c r="L134" s="7">
        <v>45817</v>
      </c>
      <c r="M134" s="11">
        <v>215.16</v>
      </c>
      <c r="N134" s="6" t="s">
        <v>95</v>
      </c>
      <c r="O134" s="5">
        <v>99114973</v>
      </c>
      <c r="P134" s="29" t="s">
        <v>0</v>
      </c>
      <c r="Q134" s="5">
        <f>IF(ISBLANK(OHMeter[[#This Row],[PO Number]]),"",IF(ISBLANK(OHMeter[[#This Row],[Recv Date]]),0,1))</f>
        <v>1</v>
      </c>
      <c r="R134" s="41"/>
    </row>
    <row r="135" spans="1:18" ht="15.6" x14ac:dyDescent="0.3">
      <c r="A135" s="5">
        <f>IF(ISBLANK(OHMeter[[#This Row],[OpCo2]]),"",COUNTA(OHMeter[[#This Row],[OpCo2]])-(COUNTA(OHMeter[[#This Row],[OpCo2]])-ROW(OHMeter[[#This Row],[OpCo2]])+1))</f>
        <v>134</v>
      </c>
      <c r="B135" s="5" t="s">
        <v>17</v>
      </c>
      <c r="C135" s="6" t="s">
        <v>2</v>
      </c>
      <c r="D135" s="6" t="s">
        <v>1</v>
      </c>
      <c r="E135" s="5" t="s">
        <v>62</v>
      </c>
      <c r="F135" s="23">
        <v>924072064</v>
      </c>
      <c r="G135" s="24">
        <v>924082143</v>
      </c>
      <c r="H135" s="5">
        <f>IF(AND(ISBLANK(OHMeter[[#This Row],[Beg Ser]]),ISBLANK(OHMeter[[#This Row],[End Ser]])),"",OHMeter[[#This Row],[End Ser]]-OHMeter[[#This Row],[Beg Ser]]+1)</f>
        <v>10080</v>
      </c>
      <c r="I135" s="7">
        <v>44617</v>
      </c>
      <c r="J135" s="7"/>
      <c r="K135" s="22">
        <v>80528678</v>
      </c>
      <c r="L135" s="7">
        <v>45817</v>
      </c>
      <c r="M135" s="11">
        <v>113.71</v>
      </c>
      <c r="N135" s="6" t="s">
        <v>73</v>
      </c>
      <c r="O135" s="5">
        <v>99038745</v>
      </c>
      <c r="P135" s="29" t="s">
        <v>62</v>
      </c>
      <c r="Q135" s="5">
        <f>IF(ISBLANK(OHMeter[[#This Row],[PO Number]]),"",IF(ISBLANK(OHMeter[[#This Row],[Recv Date]]),0,1))</f>
        <v>1</v>
      </c>
      <c r="R135" s="41"/>
    </row>
    <row r="136" spans="1:18" ht="15.6" x14ac:dyDescent="0.3">
      <c r="A136" s="5">
        <f>IF(ISBLANK(OHMeter[[#This Row],[OpCo2]]),"",COUNTA(OHMeter[[#This Row],[OpCo2]])-(COUNTA(OHMeter[[#This Row],[OpCo2]])-ROW(OHMeter[[#This Row],[OpCo2]])+1))</f>
        <v>135</v>
      </c>
      <c r="B136" s="5" t="s">
        <v>17</v>
      </c>
      <c r="C136" s="6" t="s">
        <v>2</v>
      </c>
      <c r="D136" s="6" t="s">
        <v>1</v>
      </c>
      <c r="E136" s="5" t="s">
        <v>62</v>
      </c>
      <c r="F136" s="23">
        <v>924253393</v>
      </c>
      <c r="G136" s="24">
        <v>924263472</v>
      </c>
      <c r="H136" s="5">
        <f>IF(AND(ISBLANK(OHMeter[[#This Row],[Beg Ser]]),ISBLANK(OHMeter[[#This Row],[End Ser]])),"",OHMeter[[#This Row],[End Ser]]-OHMeter[[#This Row],[Beg Ser]]+1)</f>
        <v>10080</v>
      </c>
      <c r="I136" s="7">
        <v>44617</v>
      </c>
      <c r="J136" s="7"/>
      <c r="K136" s="22">
        <v>80528678</v>
      </c>
      <c r="L136" s="7">
        <v>45835</v>
      </c>
      <c r="M136" s="11">
        <v>113.71</v>
      </c>
      <c r="N136" s="6" t="s">
        <v>73</v>
      </c>
      <c r="O136" s="5">
        <v>99038745</v>
      </c>
      <c r="P136" s="29" t="s">
        <v>62</v>
      </c>
      <c r="Q136" s="5">
        <f>IF(ISBLANK(OHMeter[[#This Row],[PO Number]]),"",IF(ISBLANK(OHMeter[[#This Row],[Recv Date]]),0,1))</f>
        <v>1</v>
      </c>
      <c r="R136" s="41"/>
    </row>
    <row r="137" spans="1:18" ht="15.6" x14ac:dyDescent="0.3">
      <c r="A137" s="5">
        <f>IF(ISBLANK(OHMeter[[#This Row],[OpCo2]]),"",COUNTA(OHMeter[[#This Row],[OpCo2]])-(COUNTA(OHMeter[[#This Row],[OpCo2]])-ROW(OHMeter[[#This Row],[OpCo2]])+1))</f>
        <v>136</v>
      </c>
      <c r="B137" s="5" t="s">
        <v>17</v>
      </c>
      <c r="C137" s="6" t="s">
        <v>2</v>
      </c>
      <c r="D137" s="6" t="s">
        <v>1</v>
      </c>
      <c r="E137" s="5" t="s">
        <v>62</v>
      </c>
      <c r="F137" s="23">
        <v>924129606</v>
      </c>
      <c r="G137" s="24">
        <v>924133805</v>
      </c>
      <c r="H137" s="5">
        <f>IF(AND(ISBLANK(OHMeter[[#This Row],[Beg Ser]]),ISBLANK(OHMeter[[#This Row],[End Ser]])),"",OHMeter[[#This Row],[End Ser]]-OHMeter[[#This Row],[Beg Ser]]+1)</f>
        <v>4200</v>
      </c>
      <c r="I137" s="7">
        <v>45618</v>
      </c>
      <c r="J137" s="7"/>
      <c r="K137" s="22">
        <v>81414462</v>
      </c>
      <c r="L137" s="7">
        <v>45835</v>
      </c>
      <c r="M137" s="11">
        <v>113.71</v>
      </c>
      <c r="N137" s="6" t="s">
        <v>73</v>
      </c>
      <c r="O137" s="5">
        <v>99038745</v>
      </c>
      <c r="P137" s="29" t="s">
        <v>62</v>
      </c>
      <c r="Q137" s="5">
        <f>IF(ISBLANK(OHMeter[[#This Row],[PO Number]]),"",IF(ISBLANK(OHMeter[[#This Row],[Recv Date]]),0,1))</f>
        <v>1</v>
      </c>
      <c r="R137" s="41"/>
    </row>
    <row r="138" spans="1:18" ht="15.6" x14ac:dyDescent="0.3">
      <c r="A138" s="5">
        <f>IF(ISBLANK(OHMeter[[#This Row],[OpCo2]]),"",COUNTA(OHMeter[[#This Row],[OpCo2]])-(COUNTA(OHMeter[[#This Row],[OpCo2]])-ROW(OHMeter[[#This Row],[OpCo2]])+1))</f>
        <v>137</v>
      </c>
      <c r="B138" s="5" t="s">
        <v>17</v>
      </c>
      <c r="C138" s="6" t="s">
        <v>2</v>
      </c>
      <c r="D138" s="6" t="s">
        <v>1</v>
      </c>
      <c r="E138" s="5" t="s">
        <v>71</v>
      </c>
      <c r="F138" s="23">
        <v>924071944</v>
      </c>
      <c r="G138" s="24">
        <v>924072063</v>
      </c>
      <c r="H138" s="5">
        <f>IF(AND(ISBLANK(OHMeter[[#This Row],[Beg Ser]]),ISBLANK(OHMeter[[#This Row],[End Ser]])),"",OHMeter[[#This Row],[End Ser]]-OHMeter[[#This Row],[Beg Ser]]+1)</f>
        <v>120</v>
      </c>
      <c r="I138" s="7">
        <v>44621</v>
      </c>
      <c r="J138" s="7"/>
      <c r="K138" s="22">
        <v>80536725</v>
      </c>
      <c r="L138" s="7">
        <v>45835</v>
      </c>
      <c r="M138" s="11">
        <v>160.69</v>
      </c>
      <c r="N138" s="6" t="s">
        <v>72</v>
      </c>
      <c r="O138" s="5">
        <v>99038747</v>
      </c>
      <c r="P138" s="29" t="s">
        <v>71</v>
      </c>
      <c r="Q138" s="5">
        <f>IF(ISBLANK(OHMeter[[#This Row],[PO Number]]),"",IF(ISBLANK(OHMeter[[#This Row],[Recv Date]]),0,1))</f>
        <v>1</v>
      </c>
      <c r="R138" s="41"/>
    </row>
    <row r="139" spans="1:18" ht="15.6" x14ac:dyDescent="0.3">
      <c r="A139" s="5">
        <f>IF(ISBLANK(OHMeter[[#This Row],[OpCo2]]),"",COUNTA(OHMeter[[#This Row],[OpCo2]])-(COUNTA(OHMeter[[#This Row],[OpCo2]])-ROW(OHMeter[[#This Row],[OpCo2]])+1))</f>
        <v>138</v>
      </c>
      <c r="B139" s="5" t="s">
        <v>17</v>
      </c>
      <c r="C139" s="6" t="s">
        <v>2</v>
      </c>
      <c r="D139" s="6" t="s">
        <v>1</v>
      </c>
      <c r="E139" s="5" t="s">
        <v>71</v>
      </c>
      <c r="F139" s="23">
        <v>924133806</v>
      </c>
      <c r="G139" s="24">
        <v>924134525</v>
      </c>
      <c r="H139" s="5">
        <f>IF(AND(ISBLANK(OHMeter[[#This Row],[Beg Ser]]),ISBLANK(OHMeter[[#This Row],[End Ser]])),"",OHMeter[[#This Row],[End Ser]]-OHMeter[[#This Row],[Beg Ser]]+1)</f>
        <v>720</v>
      </c>
      <c r="I139" s="7">
        <v>45618</v>
      </c>
      <c r="J139" s="7"/>
      <c r="K139" s="22">
        <v>81414458</v>
      </c>
      <c r="L139" s="7">
        <v>45838</v>
      </c>
      <c r="M139" s="11">
        <v>160.69</v>
      </c>
      <c r="N139" s="6" t="s">
        <v>72</v>
      </c>
      <c r="O139" s="5">
        <v>99038747</v>
      </c>
      <c r="P139" s="29" t="s">
        <v>71</v>
      </c>
      <c r="Q139" s="5">
        <f>IF(ISBLANK(OHMeter[[#This Row],[PO Number]]),"",IF(ISBLANK(OHMeter[[#This Row],[Recv Date]]),0,1))</f>
        <v>1</v>
      </c>
      <c r="R139" s="41"/>
    </row>
    <row r="140" spans="1:18" ht="15.6" x14ac:dyDescent="0.3">
      <c r="A140" s="5">
        <f>IF(ISBLANK(OHMeter[[#This Row],[OpCo2]]),"",COUNTA(OHMeter[[#This Row],[OpCo2]])-(COUNTA(OHMeter[[#This Row],[OpCo2]])-ROW(OHMeter[[#This Row],[OpCo2]])+1))</f>
        <v>139</v>
      </c>
      <c r="B140" s="5" t="s">
        <v>17</v>
      </c>
      <c r="C140" s="6" t="s">
        <v>2</v>
      </c>
      <c r="D140" s="6" t="s">
        <v>1</v>
      </c>
      <c r="E140" s="5" t="s">
        <v>147</v>
      </c>
      <c r="F140" s="23">
        <v>624187435</v>
      </c>
      <c r="G140" s="24">
        <v>624187530</v>
      </c>
      <c r="H140" s="5">
        <f>IF(AND(ISBLANK(OHMeter[[#This Row],[Beg Ser]]),ISBLANK(OHMeter[[#This Row],[End Ser]])),"",OHMeter[[#This Row],[End Ser]]-OHMeter[[#This Row],[Beg Ser]]+1)</f>
        <v>96</v>
      </c>
      <c r="I140" s="7">
        <v>45265</v>
      </c>
      <c r="J140" s="7"/>
      <c r="K140" s="22">
        <v>81259067</v>
      </c>
      <c r="L140" s="7">
        <v>45848</v>
      </c>
      <c r="M140" s="11">
        <v>225.98</v>
      </c>
      <c r="N140" s="6" t="s">
        <v>200</v>
      </c>
      <c r="O140" s="5">
        <v>99114977</v>
      </c>
      <c r="P140" s="29" t="s">
        <v>147</v>
      </c>
      <c r="Q140" s="5">
        <f>IF(ISBLANK(OHMeter[[#This Row],[PO Number]]),"",IF(ISBLANK(OHMeter[[#This Row],[Recv Date]]),0,1))</f>
        <v>1</v>
      </c>
      <c r="R140" s="41"/>
    </row>
    <row r="141" spans="1:18" ht="15.6" x14ac:dyDescent="0.3">
      <c r="A141" s="5">
        <f>IF(ISBLANK(OHMeter[[#This Row],[OpCo2]]),"",COUNTA(OHMeter[[#This Row],[OpCo2]])-(COUNTA(OHMeter[[#This Row],[OpCo2]])-ROW(OHMeter[[#This Row],[OpCo2]])+1))</f>
        <v>140</v>
      </c>
      <c r="B141" s="5" t="s">
        <v>17</v>
      </c>
      <c r="C141" s="6" t="s">
        <v>2</v>
      </c>
      <c r="D141" s="6" t="s">
        <v>1</v>
      </c>
      <c r="E141" s="5" t="s">
        <v>62</v>
      </c>
      <c r="F141" s="23">
        <v>924273314</v>
      </c>
      <c r="G141" s="24">
        <v>924283393</v>
      </c>
      <c r="H141" s="5">
        <f>IF(AND(ISBLANK(OHMeter[[#This Row],[Beg Ser]]),ISBLANK(OHMeter[[#This Row],[End Ser]])),"",OHMeter[[#This Row],[End Ser]]-OHMeter[[#This Row],[Beg Ser]]+1)</f>
        <v>10080</v>
      </c>
      <c r="I141" s="7">
        <v>44621</v>
      </c>
      <c r="J141" s="7"/>
      <c r="K141" s="22">
        <v>80536725</v>
      </c>
      <c r="L141" s="7">
        <v>45856</v>
      </c>
      <c r="M141" s="11">
        <v>113.71</v>
      </c>
      <c r="N141" s="6" t="s">
        <v>73</v>
      </c>
      <c r="O141" s="5">
        <v>99038745</v>
      </c>
      <c r="P141" s="29" t="s">
        <v>62</v>
      </c>
      <c r="Q141" s="5">
        <f>IF(ISBLANK(OHMeter[[#This Row],[PO Number]]),"",IF(ISBLANK(OHMeter[[#This Row],[Recv Date]]),0,1))</f>
        <v>1</v>
      </c>
      <c r="R141" s="41"/>
    </row>
    <row r="142" spans="1:18" ht="15.6" x14ac:dyDescent="0.3">
      <c r="A142" s="5">
        <f>IF(ISBLANK(OHMeter[[#This Row],[OpCo2]]),"",COUNTA(OHMeter[[#This Row],[OpCo2]])-(COUNTA(OHMeter[[#This Row],[OpCo2]])-ROW(OHMeter[[#This Row],[OpCo2]])+1))</f>
        <v>141</v>
      </c>
      <c r="B142" s="5" t="s">
        <v>17</v>
      </c>
      <c r="C142" s="6" t="s">
        <v>2</v>
      </c>
      <c r="D142" s="6" t="s">
        <v>1</v>
      </c>
      <c r="E142" s="5" t="s">
        <v>62</v>
      </c>
      <c r="F142" s="23">
        <v>924283394</v>
      </c>
      <c r="G142" s="24">
        <v>924293473</v>
      </c>
      <c r="H142" s="5">
        <f>IF(AND(ISBLANK(OHMeter[[#This Row],[Beg Ser]]),ISBLANK(OHMeter[[#This Row],[End Ser]])),"",OHMeter[[#This Row],[End Ser]]-OHMeter[[#This Row],[Beg Ser]]+1)</f>
        <v>10080</v>
      </c>
      <c r="I142" s="7">
        <v>44621</v>
      </c>
      <c r="J142" s="7"/>
      <c r="K142" s="22">
        <v>80536725</v>
      </c>
      <c r="L142" s="7">
        <v>45856</v>
      </c>
      <c r="M142" s="11">
        <v>113.71</v>
      </c>
      <c r="N142" s="6" t="s">
        <v>73</v>
      </c>
      <c r="O142" s="5">
        <v>99038745</v>
      </c>
      <c r="P142" s="29" t="s">
        <v>62</v>
      </c>
      <c r="Q142" s="5">
        <f>IF(ISBLANK(OHMeter[[#This Row],[PO Number]]),"",IF(ISBLANK(OHMeter[[#This Row],[Recv Date]]),0,1))</f>
        <v>1</v>
      </c>
      <c r="R142" s="41"/>
    </row>
    <row r="143" spans="1:18" ht="15.6" x14ac:dyDescent="0.3">
      <c r="A143" s="5">
        <f>IF(ISBLANK(OHMeter[[#This Row],[OpCo2]]),"",COUNTA(OHMeter[[#This Row],[OpCo2]])-(COUNTA(OHMeter[[#This Row],[OpCo2]])-ROW(OHMeter[[#This Row],[OpCo2]])+1))</f>
        <v>142</v>
      </c>
      <c r="B143" s="5" t="s">
        <v>17</v>
      </c>
      <c r="C143" s="6" t="s">
        <v>2</v>
      </c>
      <c r="D143" s="6" t="s">
        <v>1</v>
      </c>
      <c r="E143" s="5" t="s">
        <v>85</v>
      </c>
      <c r="F143" s="23">
        <v>624266707</v>
      </c>
      <c r="G143" s="24">
        <v>624266898</v>
      </c>
      <c r="H143" s="5">
        <f>IF(AND(ISBLANK(OHMeter[[#This Row],[Beg Ser]]),ISBLANK(OHMeter[[#This Row],[End Ser]])),"",OHMeter[[#This Row],[End Ser]]-OHMeter[[#This Row],[Beg Ser]]+1)</f>
        <v>192</v>
      </c>
      <c r="I143" s="7">
        <v>45618</v>
      </c>
      <c r="J143" s="7"/>
      <c r="K143" s="22">
        <v>81414458</v>
      </c>
      <c r="L143" s="7">
        <v>45860</v>
      </c>
      <c r="M143" s="11">
        <v>215.16</v>
      </c>
      <c r="N143" s="6" t="s">
        <v>87</v>
      </c>
      <c r="O143" s="5">
        <v>99114972</v>
      </c>
      <c r="P143" s="29" t="s">
        <v>85</v>
      </c>
      <c r="Q143" s="5">
        <f>IF(ISBLANK(OHMeter[[#This Row],[PO Number]]),"",IF(ISBLANK(OHMeter[[#This Row],[Recv Date]]),0,1))</f>
        <v>1</v>
      </c>
      <c r="R143" s="41"/>
    </row>
    <row r="144" spans="1:18" ht="15.6" x14ac:dyDescent="0.3">
      <c r="A144" s="5">
        <f>IF(ISBLANK(OHMeter[[#This Row],[OpCo2]]),"",COUNTA(OHMeter[[#This Row],[OpCo2]])-(COUNTA(OHMeter[[#This Row],[OpCo2]])-ROW(OHMeter[[#This Row],[OpCo2]])+1))</f>
        <v>143</v>
      </c>
      <c r="B144" s="5" t="s">
        <v>17</v>
      </c>
      <c r="C144" s="6" t="s">
        <v>2</v>
      </c>
      <c r="D144" s="6" t="s">
        <v>1</v>
      </c>
      <c r="E144" s="5" t="s">
        <v>0</v>
      </c>
      <c r="F144" s="23">
        <v>624266419</v>
      </c>
      <c r="G144" s="24">
        <v>624266706</v>
      </c>
      <c r="H144" s="5">
        <f>IF(AND(ISBLANK(OHMeter[[#This Row],[Beg Ser]]),ISBLANK(OHMeter[[#This Row],[End Ser]])),"",OHMeter[[#This Row],[End Ser]]-OHMeter[[#This Row],[Beg Ser]]+1)</f>
        <v>288</v>
      </c>
      <c r="I144" s="7">
        <v>45618</v>
      </c>
      <c r="J144" s="7"/>
      <c r="K144" s="22">
        <v>81414458</v>
      </c>
      <c r="L144" s="7">
        <v>45863</v>
      </c>
      <c r="M144" s="11">
        <v>215.16</v>
      </c>
      <c r="N144" s="6" t="s">
        <v>95</v>
      </c>
      <c r="O144" s="5">
        <v>99114973</v>
      </c>
      <c r="P144" s="29" t="s">
        <v>0</v>
      </c>
      <c r="Q144" s="5">
        <f>IF(ISBLANK(OHMeter[[#This Row],[PO Number]]),"",IF(ISBLANK(OHMeter[[#This Row],[Recv Date]]),0,1))</f>
        <v>1</v>
      </c>
      <c r="R144" s="41"/>
    </row>
    <row r="145" spans="1:18" ht="15.6" x14ac:dyDescent="0.3">
      <c r="A145" s="5">
        <f>IF(ISBLANK(OHMeter[[#This Row],[OpCo2]]),"",COUNTA(OHMeter[[#This Row],[OpCo2]])-(COUNTA(OHMeter[[#This Row],[OpCo2]])-ROW(OHMeter[[#This Row],[OpCo2]])+1))</f>
        <v>144</v>
      </c>
      <c r="B145" s="5" t="s">
        <v>17</v>
      </c>
      <c r="C145" s="6" t="s">
        <v>2</v>
      </c>
      <c r="D145" s="6" t="s">
        <v>1</v>
      </c>
      <c r="E145" s="5" t="s">
        <v>62</v>
      </c>
      <c r="F145" s="23">
        <v>924474488</v>
      </c>
      <c r="G145" s="24">
        <v>924484567</v>
      </c>
      <c r="H145" s="5">
        <f>IF(AND(ISBLANK(OHMeter[[#This Row],[Beg Ser]]),ISBLANK(OHMeter[[#This Row],[End Ser]])),"",OHMeter[[#This Row],[End Ser]]-OHMeter[[#This Row],[Beg Ser]]+1)</f>
        <v>10080</v>
      </c>
      <c r="I145" s="7">
        <v>44617</v>
      </c>
      <c r="J145" s="7"/>
      <c r="K145" s="22">
        <v>80529340</v>
      </c>
      <c r="L145" s="7">
        <v>45889</v>
      </c>
      <c r="M145" s="11">
        <v>113.71</v>
      </c>
      <c r="N145" s="6" t="s">
        <v>73</v>
      </c>
      <c r="O145" s="5">
        <v>99038745</v>
      </c>
      <c r="P145" s="29" t="s">
        <v>62</v>
      </c>
      <c r="Q145" s="5">
        <f>IF(ISBLANK(OHMeter[[#This Row],[PO Number]]),"",IF(ISBLANK(OHMeter[[#This Row],[Recv Date]]),0,1))</f>
        <v>1</v>
      </c>
      <c r="R145" s="41"/>
    </row>
    <row r="146" spans="1:18" ht="15.6" x14ac:dyDescent="0.3">
      <c r="A146" s="5">
        <f>IF(ISBLANK(OHMeter[[#This Row],[OpCo2]]),"",COUNTA(OHMeter[[#This Row],[OpCo2]])-(COUNTA(OHMeter[[#This Row],[OpCo2]])-ROW(OHMeter[[#This Row],[OpCo2]])+1))</f>
        <v>145</v>
      </c>
      <c r="B146" s="5" t="s">
        <v>17</v>
      </c>
      <c r="C146" s="6" t="s">
        <v>2</v>
      </c>
      <c r="D146" s="6" t="s">
        <v>1</v>
      </c>
      <c r="E146" s="5" t="s">
        <v>0</v>
      </c>
      <c r="F146" s="23">
        <v>624411298</v>
      </c>
      <c r="G146" s="24">
        <v>624412257</v>
      </c>
      <c r="H146" s="5">
        <f>IF(AND(ISBLANK(OHMeter[[#This Row],[Beg Ser]]),ISBLANK(OHMeter[[#This Row],[End Ser]])),"",OHMeter[[#This Row],[End Ser]]-OHMeter[[#This Row],[Beg Ser]]+1)</f>
        <v>960</v>
      </c>
      <c r="I146" s="7">
        <v>44617</v>
      </c>
      <c r="J146" s="7"/>
      <c r="K146" s="22">
        <v>80529341</v>
      </c>
      <c r="L146" s="7">
        <v>45891</v>
      </c>
      <c r="M146" s="11">
        <v>215.16</v>
      </c>
      <c r="N146" s="6" t="s">
        <v>95</v>
      </c>
      <c r="O146" s="5">
        <v>99114973</v>
      </c>
      <c r="P146" s="29" t="s">
        <v>0</v>
      </c>
      <c r="Q146" s="5">
        <f>IF(ISBLANK(OHMeter[[#This Row],[PO Number]]),"",IF(ISBLANK(OHMeter[[#This Row],[Recv Date]]),0,1))</f>
        <v>1</v>
      </c>
      <c r="R146" s="41"/>
    </row>
    <row r="147" spans="1:18" ht="15.6" x14ac:dyDescent="0.3">
      <c r="A147" s="5">
        <f>IF(ISBLANK(OHMeter[[#This Row],[OpCo2]]),"",COUNTA(OHMeter[[#This Row],[OpCo2]])-(COUNTA(OHMeter[[#This Row],[OpCo2]])-ROW(OHMeter[[#This Row],[OpCo2]])+1))</f>
        <v>146</v>
      </c>
      <c r="B147" s="5" t="s">
        <v>17</v>
      </c>
      <c r="C147" s="6" t="s">
        <v>2</v>
      </c>
      <c r="D147" s="6" t="s">
        <v>1</v>
      </c>
      <c r="E147" s="5" t="s">
        <v>62</v>
      </c>
      <c r="F147" s="23">
        <v>924484568</v>
      </c>
      <c r="G147" s="24">
        <v>924494647</v>
      </c>
      <c r="H147" s="5">
        <f>IF(AND(ISBLANK(OHMeter[[#This Row],[Beg Ser]]),ISBLANK(OHMeter[[#This Row],[End Ser]])),"",OHMeter[[#This Row],[End Ser]]-OHMeter[[#This Row],[Beg Ser]]+1)</f>
        <v>10080</v>
      </c>
      <c r="I147" s="7">
        <v>44617</v>
      </c>
      <c r="J147" s="7"/>
      <c r="K147" s="22">
        <v>80529340</v>
      </c>
      <c r="L147" s="7">
        <v>45895</v>
      </c>
      <c r="M147" s="11">
        <v>113.71</v>
      </c>
      <c r="N147" s="6" t="s">
        <v>73</v>
      </c>
      <c r="O147" s="5">
        <v>99038745</v>
      </c>
      <c r="P147" s="29" t="s">
        <v>62</v>
      </c>
      <c r="Q147" s="5">
        <f>IF(ISBLANK(OHMeter[[#This Row],[PO Number]]),"",IF(ISBLANK(OHMeter[[#This Row],[Recv Date]]),0,1))</f>
        <v>1</v>
      </c>
      <c r="R147" s="41"/>
    </row>
    <row r="148" spans="1:18" ht="15.6" x14ac:dyDescent="0.3">
      <c r="A148" s="5">
        <f>IF(ISBLANK(OHMeter[[#This Row],[OpCo2]]),"",COUNTA(OHMeter[[#This Row],[OpCo2]])-(COUNTA(OHMeter[[#This Row],[OpCo2]])-ROW(OHMeter[[#This Row],[OpCo2]])+1))</f>
        <v>147</v>
      </c>
      <c r="B148" s="5" t="s">
        <v>17</v>
      </c>
      <c r="C148" s="6" t="s">
        <v>2</v>
      </c>
      <c r="D148" s="6" t="s">
        <v>1</v>
      </c>
      <c r="E148" s="5" t="s">
        <v>205</v>
      </c>
      <c r="F148" s="23">
        <v>924628887</v>
      </c>
      <c r="G148" s="24">
        <v>924629606</v>
      </c>
      <c r="H148" s="5">
        <f>IF(AND(ISBLANK(OHMeter[[#This Row],[Beg Ser]]),ISBLANK(OHMeter[[#This Row],[End Ser]])),"",OHMeter[[#This Row],[End Ser]]-OHMeter[[#This Row],[Beg Ser]]+1)</f>
        <v>720</v>
      </c>
      <c r="I148" s="7">
        <v>45749</v>
      </c>
      <c r="J148" s="7"/>
      <c r="K148" s="22">
        <v>81848797</v>
      </c>
      <c r="L148" s="7">
        <v>45911</v>
      </c>
      <c r="M148" s="11">
        <v>173.93</v>
      </c>
      <c r="N148" s="6" t="s">
        <v>206</v>
      </c>
      <c r="O148" s="5">
        <v>99121393</v>
      </c>
      <c r="P148" s="29" t="s">
        <v>205</v>
      </c>
      <c r="Q148" s="5">
        <f>IF(ISBLANK(OHMeter[[#This Row],[PO Number]]),"",IF(ISBLANK(OHMeter[[#This Row],[Recv Date]]),0,1))</f>
        <v>1</v>
      </c>
      <c r="R148" s="41"/>
    </row>
    <row r="149" spans="1:18" ht="15.6" x14ac:dyDescent="0.3">
      <c r="A149" s="5">
        <f>IF(ISBLANK(OHMeter[[#This Row],[OpCo2]]),"",COUNTA(OHMeter[[#This Row],[OpCo2]])-(COUNTA(OHMeter[[#This Row],[OpCo2]])-ROW(OHMeter[[#This Row],[OpCo2]])+1))</f>
        <v>148</v>
      </c>
      <c r="B149" s="5" t="s">
        <v>17</v>
      </c>
      <c r="C149" s="6" t="s">
        <v>2</v>
      </c>
      <c r="D149" s="6" t="s">
        <v>1</v>
      </c>
      <c r="E149" s="5" t="s">
        <v>62</v>
      </c>
      <c r="F149" s="23">
        <v>924657611</v>
      </c>
      <c r="G149" s="24">
        <v>924667690</v>
      </c>
      <c r="H149" s="5">
        <f>IF(AND(ISBLANK(OHMeter[[#This Row],[Beg Ser]]),ISBLANK(OHMeter[[#This Row],[End Ser]])),"",OHMeter[[#This Row],[End Ser]]-OHMeter[[#This Row],[Beg Ser]]+1)</f>
        <v>10080</v>
      </c>
      <c r="I149" s="7">
        <v>44535</v>
      </c>
      <c r="J149" s="7"/>
      <c r="K149" s="22">
        <v>80447158</v>
      </c>
      <c r="L149" s="7">
        <v>45911</v>
      </c>
      <c r="M149" s="11">
        <v>120.98</v>
      </c>
      <c r="N149" s="6" t="s">
        <v>73</v>
      </c>
      <c r="O149" s="5">
        <v>99038745</v>
      </c>
      <c r="P149" s="29" t="s">
        <v>62</v>
      </c>
      <c r="Q149" s="5">
        <f>IF(ISBLANK(OHMeter[[#This Row],[PO Number]]),"",IF(ISBLANK(OHMeter[[#This Row],[Recv Date]]),0,1))</f>
        <v>1</v>
      </c>
      <c r="R149" s="41"/>
    </row>
    <row r="150" spans="1:18" ht="15.6" x14ac:dyDescent="0.3">
      <c r="A150" s="5">
        <f>IF(ISBLANK(OHMeter[[#This Row],[OpCo2]]),"",COUNTA(OHMeter[[#This Row],[OpCo2]])-(COUNTA(OHMeter[[#This Row],[OpCo2]])-ROW(OHMeter[[#This Row],[OpCo2]])+1))</f>
        <v>149</v>
      </c>
      <c r="B150" s="5" t="s">
        <v>17</v>
      </c>
      <c r="C150" s="6" t="s">
        <v>2</v>
      </c>
      <c r="D150" s="6" t="s">
        <v>1</v>
      </c>
      <c r="E150" s="5" t="s">
        <v>147</v>
      </c>
      <c r="F150" s="23">
        <v>624656747</v>
      </c>
      <c r="G150" s="24">
        <v>624656938</v>
      </c>
      <c r="H150" s="5">
        <f>IF(AND(ISBLANK(OHMeter[[#This Row],[Beg Ser]]),ISBLANK(OHMeter[[#This Row],[End Ser]])),"",OHMeter[[#This Row],[End Ser]]-OHMeter[[#This Row],[Beg Ser]]+1)</f>
        <v>192</v>
      </c>
      <c r="I150" s="7">
        <v>45804</v>
      </c>
      <c r="J150" s="7"/>
      <c r="K150" s="22">
        <v>81901671</v>
      </c>
      <c r="L150" s="7">
        <v>45929</v>
      </c>
      <c r="M150" s="11">
        <v>230.03</v>
      </c>
      <c r="N150" s="6" t="s">
        <v>200</v>
      </c>
      <c r="O150" s="5">
        <v>99114977</v>
      </c>
      <c r="P150" s="29" t="s">
        <v>147</v>
      </c>
      <c r="Q150" s="5">
        <f>IF(ISBLANK(OHMeter[[#This Row],[PO Number]]),"",IF(ISBLANK(OHMeter[[#This Row],[Recv Date]]),0,1))</f>
        <v>1</v>
      </c>
      <c r="R150" s="41"/>
    </row>
    <row r="151" spans="1:18" ht="15.6" x14ac:dyDescent="0.3">
      <c r="A151" s="5">
        <f>IF(ISBLANK(OHMeter[[#This Row],[OpCo2]]),"",COUNTA(OHMeter[[#This Row],[OpCo2]])-(COUNTA(OHMeter[[#This Row],[OpCo2]])-ROW(OHMeter[[#This Row],[OpCo2]])+1))</f>
        <v>150</v>
      </c>
      <c r="B151" s="5" t="s">
        <v>17</v>
      </c>
      <c r="C151" s="6" t="s">
        <v>2</v>
      </c>
      <c r="D151" s="6" t="s">
        <v>1</v>
      </c>
      <c r="E151" s="5" t="s">
        <v>62</v>
      </c>
      <c r="F151" s="23">
        <v>924646667</v>
      </c>
      <c r="G151" s="24">
        <v>924656746</v>
      </c>
      <c r="H151" s="5">
        <f>IF(AND(ISBLANK(OHMeter[[#This Row],[Beg Ser]]),ISBLANK(OHMeter[[#This Row],[End Ser]])),"",OHMeter[[#This Row],[End Ser]]-OHMeter[[#This Row],[Beg Ser]]+1)</f>
        <v>10080</v>
      </c>
      <c r="I151" s="7">
        <v>44616</v>
      </c>
      <c r="J151" s="7"/>
      <c r="K151" s="22">
        <v>80520530</v>
      </c>
      <c r="L151" s="7">
        <v>45929</v>
      </c>
      <c r="M151" s="11">
        <v>113.71</v>
      </c>
      <c r="N151" s="6" t="s">
        <v>73</v>
      </c>
      <c r="O151" s="5">
        <v>99038745</v>
      </c>
      <c r="P151" s="29" t="s">
        <v>62</v>
      </c>
      <c r="Q151" s="5">
        <f>IF(ISBLANK(OHMeter[[#This Row],[PO Number]]),"",IF(ISBLANK(OHMeter[[#This Row],[Recv Date]]),0,1))</f>
        <v>1</v>
      </c>
      <c r="R151" s="41"/>
    </row>
    <row r="152" spans="1:18" ht="15.6" x14ac:dyDescent="0.3">
      <c r="A152" s="5">
        <f>IF(ISBLANK(OHMeter[[#This Row],[OpCo2]]),"",COUNTA(OHMeter[[#This Row],[OpCo2]])-(COUNTA(OHMeter[[#This Row],[OpCo2]])-ROW(OHMeter[[#This Row],[OpCo2]])+1))</f>
        <v>151</v>
      </c>
      <c r="B152" s="5" t="s">
        <v>17</v>
      </c>
      <c r="C152" s="6" t="s">
        <v>2</v>
      </c>
      <c r="D152" s="6" t="s">
        <v>1</v>
      </c>
      <c r="E152" s="5" t="s">
        <v>149</v>
      </c>
      <c r="F152" s="23">
        <v>924575730</v>
      </c>
      <c r="G152" s="24">
        <v>924575969</v>
      </c>
      <c r="H152" s="5">
        <f>IF(AND(ISBLANK(OHMeter[[#This Row],[Beg Ser]]),ISBLANK(OHMeter[[#This Row],[End Ser]])),"",OHMeter[[#This Row],[End Ser]]-OHMeter[[#This Row],[Beg Ser]]+1)</f>
        <v>240</v>
      </c>
      <c r="I152" s="7">
        <v>45813</v>
      </c>
      <c r="J152" s="7"/>
      <c r="K152" s="22">
        <v>81911399</v>
      </c>
      <c r="L152" s="7">
        <v>45943</v>
      </c>
      <c r="M152" s="11">
        <v>83.57</v>
      </c>
      <c r="N152" s="6" t="s">
        <v>150</v>
      </c>
      <c r="O152" s="5">
        <v>99118525</v>
      </c>
      <c r="P152" s="29" t="s">
        <v>149</v>
      </c>
      <c r="Q152" s="5">
        <f>IF(ISBLANK(OHMeter[[#This Row],[PO Number]]),"",IF(ISBLANK(OHMeter[[#This Row],[Recv Date]]),0,1))</f>
        <v>1</v>
      </c>
      <c r="R152" s="41"/>
    </row>
    <row r="153" spans="1:18" ht="15.6" x14ac:dyDescent="0.3">
      <c r="A153" s="5">
        <f>IF(ISBLANK(OHMeter[[#This Row],[OpCo2]]),"",COUNTA(OHMeter[[#This Row],[OpCo2]])-(COUNTA(OHMeter[[#This Row],[OpCo2]])-ROW(OHMeter[[#This Row],[OpCo2]])+1))</f>
        <v>152</v>
      </c>
      <c r="B153" s="5" t="s">
        <v>17</v>
      </c>
      <c r="C153" s="6" t="s">
        <v>2</v>
      </c>
      <c r="D153" s="6" t="s">
        <v>1</v>
      </c>
      <c r="E153" s="5" t="s">
        <v>205</v>
      </c>
      <c r="F153" s="23">
        <v>924781912</v>
      </c>
      <c r="G153" s="24">
        <v>924782631</v>
      </c>
      <c r="H153" s="5">
        <f>IF(AND(ISBLANK(OHMeter[[#This Row],[Beg Ser]]),ISBLANK(OHMeter[[#This Row],[End Ser]])),"",OHMeter[[#This Row],[End Ser]]-OHMeter[[#This Row],[Beg Ser]]+1)</f>
        <v>720</v>
      </c>
      <c r="I153" s="7">
        <v>45756</v>
      </c>
      <c r="J153" s="7"/>
      <c r="K153" s="22">
        <v>81855398</v>
      </c>
      <c r="L153" s="7">
        <v>45950</v>
      </c>
      <c r="M153" s="11">
        <v>173.93</v>
      </c>
      <c r="N153" s="6" t="s">
        <v>206</v>
      </c>
      <c r="O153" s="5">
        <v>99121393</v>
      </c>
      <c r="P153" s="29" t="s">
        <v>205</v>
      </c>
      <c r="Q153" s="5">
        <f>IF(ISBLANK(OHMeter[[#This Row],[PO Number]]),"",IF(ISBLANK(OHMeter[[#This Row],[Recv Date]]),0,1))</f>
        <v>1</v>
      </c>
      <c r="R153" s="41"/>
    </row>
    <row r="154" spans="1:18" ht="15.6" x14ac:dyDescent="0.3">
      <c r="A154" s="5">
        <f>IF(ISBLANK(OHMeter[[#This Row],[OpCo2]]),"",COUNTA(OHMeter[[#This Row],[OpCo2]])-(COUNTA(OHMeter[[#This Row],[OpCo2]])-ROW(OHMeter[[#This Row],[OpCo2]])+1))</f>
        <v>153</v>
      </c>
      <c r="B154" s="5" t="s">
        <v>17</v>
      </c>
      <c r="C154" s="6" t="s">
        <v>2</v>
      </c>
      <c r="D154" s="6" t="s">
        <v>1</v>
      </c>
      <c r="E154" s="5" t="s">
        <v>62</v>
      </c>
      <c r="F154" s="23">
        <v>924767512</v>
      </c>
      <c r="G154" s="24">
        <v>924777591</v>
      </c>
      <c r="H154" s="5">
        <f>IF(AND(ISBLANK(OHMeter[[#This Row],[Beg Ser]]),ISBLANK(OHMeter[[#This Row],[End Ser]])),"",OHMeter[[#This Row],[End Ser]]-OHMeter[[#This Row],[Beg Ser]]+1)</f>
        <v>10080</v>
      </c>
      <c r="I154" s="7">
        <v>44535</v>
      </c>
      <c r="J154" s="7"/>
      <c r="K154" s="22">
        <v>80447158</v>
      </c>
      <c r="L154" s="7">
        <v>45954</v>
      </c>
      <c r="M154" s="11">
        <v>120.98</v>
      </c>
      <c r="N154" s="6" t="s">
        <v>73</v>
      </c>
      <c r="O154" s="5">
        <v>99038745</v>
      </c>
      <c r="P154" s="29" t="s">
        <v>62</v>
      </c>
      <c r="Q154" s="5">
        <f>IF(ISBLANK(OHMeter[[#This Row],[PO Number]]),"",IF(ISBLANK(OHMeter[[#This Row],[Recv Date]]),0,1))</f>
        <v>1</v>
      </c>
      <c r="R154" s="41"/>
    </row>
    <row r="155" spans="1:18" ht="15.6" x14ac:dyDescent="0.3">
      <c r="A155" s="5">
        <f>IF(ISBLANK(OHMeter[[#This Row],[OpCo2]]),"",COUNTA(OHMeter[[#This Row],[OpCo2]])-(COUNTA(OHMeter[[#This Row],[OpCo2]])-ROW(OHMeter[[#This Row],[OpCo2]])+1))</f>
        <v>154</v>
      </c>
      <c r="B155" s="5" t="s">
        <v>17</v>
      </c>
      <c r="C155" s="6" t="s">
        <v>2</v>
      </c>
      <c r="D155" s="6" t="s">
        <v>1</v>
      </c>
      <c r="E155" s="5" t="s">
        <v>62</v>
      </c>
      <c r="F155" s="23">
        <v>924860751</v>
      </c>
      <c r="G155" s="24">
        <v>924870830</v>
      </c>
      <c r="H155" s="5">
        <f>IF(AND(ISBLANK(OHMeter[[#This Row],[Beg Ser]]),ISBLANK(OHMeter[[#This Row],[End Ser]])),"",OHMeter[[#This Row],[End Ser]]-OHMeter[[#This Row],[Beg Ser]]+1)</f>
        <v>10080</v>
      </c>
      <c r="I155" s="7">
        <v>44546</v>
      </c>
      <c r="J155" s="7"/>
      <c r="K155" s="22">
        <v>80453090</v>
      </c>
      <c r="L155" s="7">
        <v>45958</v>
      </c>
      <c r="M155" s="11">
        <v>120.98</v>
      </c>
      <c r="N155" s="6" t="s">
        <v>73</v>
      </c>
      <c r="O155" s="5">
        <v>99038745</v>
      </c>
      <c r="P155" s="29" t="s">
        <v>62</v>
      </c>
      <c r="Q155" s="5">
        <f>IF(ISBLANK(OHMeter[[#This Row],[PO Number]]),"",IF(ISBLANK(OHMeter[[#This Row],[Recv Date]]),0,1))</f>
        <v>1</v>
      </c>
      <c r="R155" s="41"/>
    </row>
    <row r="156" spans="1:18" ht="15.6" x14ac:dyDescent="0.3">
      <c r="A156" s="5">
        <v>155</v>
      </c>
      <c r="B156" s="5" t="s">
        <v>17</v>
      </c>
      <c r="C156" s="6" t="s">
        <v>2</v>
      </c>
      <c r="D156" s="6" t="s">
        <v>1</v>
      </c>
      <c r="E156" s="5" t="s">
        <v>62</v>
      </c>
      <c r="F156" s="23">
        <v>924931972</v>
      </c>
      <c r="G156" s="24">
        <v>924942051</v>
      </c>
      <c r="H156" s="5">
        <f>IF(AND(ISBLANK(OHMeter[[#This Row],[Beg Ser]]),ISBLANK(OHMeter[[#This Row],[End Ser]])),"",OHMeter[[#This Row],[End Ser]]-OHMeter[[#This Row],[Beg Ser]]+1)</f>
        <v>10080</v>
      </c>
      <c r="I156" s="7">
        <v>44546</v>
      </c>
      <c r="J156" s="7"/>
      <c r="K156" s="22">
        <v>80453090</v>
      </c>
      <c r="L156" s="7">
        <v>45972</v>
      </c>
      <c r="M156" s="11">
        <v>120.98</v>
      </c>
      <c r="N156" s="6" t="s">
        <v>73</v>
      </c>
      <c r="O156" s="5">
        <v>99038745</v>
      </c>
      <c r="P156" s="29" t="s">
        <v>62</v>
      </c>
      <c r="Q156" s="5">
        <f>IF(ISBLANK(OHMeter[[#This Row],[PO Number]]),"",IF(ISBLANK(OHMeter[[#This Row],[Recv Date]]),0,1))</f>
        <v>1</v>
      </c>
      <c r="R156" s="41"/>
    </row>
    <row r="157" spans="1:18" ht="15.6" x14ac:dyDescent="0.3">
      <c r="A157" s="5" t="str">
        <f>IF(ISBLANK(OHMeter[[#This Row],[OpCo2]]),"",COUNTA(OHMeter[[#This Row],[OpCo2]])-(COUNTA(OHMeter[[#This Row],[OpCo2]])-ROW(OHMeter[[#This Row],[OpCo2]])+1))</f>
        <v/>
      </c>
      <c r="B157" s="5"/>
      <c r="C157" s="6"/>
      <c r="D157" s="6"/>
      <c r="E157" s="5"/>
      <c r="F157" s="23"/>
      <c r="G157" s="24"/>
      <c r="H157" s="5" t="str">
        <f>IF(AND(ISBLANK(OHMeter[[#This Row],[Beg Ser]]),ISBLANK(OHMeter[[#This Row],[End Ser]])),"",OHMeter[[#This Row],[End Ser]]-OHMeter[[#This Row],[Beg Ser]]+1)</f>
        <v/>
      </c>
      <c r="I157" s="7"/>
      <c r="J157" s="7"/>
      <c r="K157" s="22"/>
      <c r="L157" s="7"/>
      <c r="M157" s="11"/>
      <c r="N157" s="6"/>
      <c r="O157" s="5"/>
      <c r="P157" s="29"/>
      <c r="Q157" s="5" t="str">
        <f>IF(ISBLANK(OHMeter[[#This Row],[PO Number]]),"",IF(ISBLANK(OHMeter[[#This Row],[Recv Date]]),0,1))</f>
        <v/>
      </c>
      <c r="R157" s="41"/>
    </row>
    <row r="158" spans="1:18" ht="15.6" x14ac:dyDescent="0.3">
      <c r="A158" s="5"/>
      <c r="B158" s="5"/>
      <c r="C158" s="6"/>
      <c r="D158" s="6"/>
      <c r="E158" s="5"/>
      <c r="F158" s="23"/>
      <c r="G158" s="24"/>
      <c r="H158" s="5" t="str">
        <f>IF(AND(ISBLANK(OHMeter[[#This Row],[Beg Ser]]),ISBLANK(OHMeter[[#This Row],[End Ser]])),"",OHMeter[[#This Row],[End Ser]]-OHMeter[[#This Row],[Beg Ser]]+1)</f>
        <v/>
      </c>
      <c r="I158" s="7"/>
      <c r="J158" s="7"/>
      <c r="K158" s="22"/>
      <c r="L158" s="7"/>
      <c r="M158" s="11"/>
      <c r="N158" s="6"/>
      <c r="O158" s="5"/>
      <c r="P158" s="29"/>
      <c r="Q158" s="5" t="str">
        <f>IF(ISBLANK(OHMeter[[#This Row],[PO Number]]),"",IF(ISBLANK(OHMeter[[#This Row],[Recv Date]]),0,1))</f>
        <v/>
      </c>
      <c r="R158" s="41"/>
    </row>
    <row r="159" spans="1:18" ht="15.6" x14ac:dyDescent="0.3">
      <c r="A159" s="5"/>
      <c r="B159" s="5"/>
      <c r="C159" s="6"/>
      <c r="D159" s="6"/>
      <c r="E159" s="5"/>
      <c r="F159" s="23"/>
      <c r="G159" s="24"/>
      <c r="H159" s="5"/>
      <c r="I159" s="7"/>
      <c r="J159" s="7"/>
      <c r="K159" s="22"/>
      <c r="L159" s="7"/>
      <c r="M159" s="11"/>
      <c r="N159" s="6"/>
      <c r="O159" s="5"/>
      <c r="P159" s="29"/>
      <c r="Q159" s="5"/>
      <c r="R159" s="41"/>
    </row>
    <row r="160" spans="1:18" ht="15.6" x14ac:dyDescent="0.3">
      <c r="A160" s="4"/>
      <c r="B160" s="4"/>
      <c r="C160" s="25"/>
      <c r="D160" s="25"/>
      <c r="E160" s="4"/>
      <c r="F160" s="23"/>
      <c r="G160" s="24"/>
      <c r="H160" s="4"/>
      <c r="I160" s="26"/>
      <c r="J160" s="26"/>
      <c r="K160" s="22"/>
      <c r="L160" s="26"/>
      <c r="M160" s="28"/>
      <c r="N160" s="25"/>
      <c r="O160" s="4"/>
      <c r="P160" s="27"/>
      <c r="Q160" s="4"/>
      <c r="R160" s="41"/>
    </row>
    <row r="161" spans="1:18" ht="15.6" x14ac:dyDescent="0.3">
      <c r="A161" s="5" t="str">
        <f>IF(ISBLANK(OHMeter[[#This Row],[OpCo2]]),"",COUNTA(OHMeter[[#This Row],[OpCo2]])-(COUNTA(OHMeter[[#This Row],[OpCo2]])-ROW(OHMeter[[#This Row],[OpCo2]])+1))</f>
        <v/>
      </c>
      <c r="B161" s="4"/>
      <c r="C161" s="25"/>
      <c r="D161" s="25"/>
      <c r="E161" s="4"/>
      <c r="F161" s="23"/>
      <c r="G161" s="24"/>
      <c r="H161" s="5" t="str">
        <f>IF(AND(ISBLANK(OHMeter[[#This Row],[Beg Ser]]),ISBLANK(OHMeter[[#This Row],[End Ser]])),"",OHMeter[[#This Row],[End Ser]]-OHMeter[[#This Row],[Beg Ser]]+1)</f>
        <v/>
      </c>
      <c r="I161" s="26"/>
      <c r="J161" s="26"/>
      <c r="K161" s="22"/>
      <c r="L161" s="26"/>
      <c r="M161" s="28"/>
      <c r="N161" s="25"/>
      <c r="O161" s="4"/>
      <c r="P161" s="27"/>
      <c r="Q161" s="5" t="str">
        <f>IF(ISBLANK(OHMeter[[#This Row],[PO Number]]),"",IF(ISBLANK(OHMeter[[#This Row],[Recv Date]]),0,1))</f>
        <v/>
      </c>
      <c r="R161" s="41"/>
    </row>
    <row r="162" spans="1:18" ht="15.6" x14ac:dyDescent="0.3">
      <c r="A162" s="5" t="str">
        <f>IF(ISBLANK(OHMeter[[#This Row],[OpCo2]]),"",COUNTA(OHMeter[[#This Row],[OpCo2]])-(COUNTA(OHMeter[[#This Row],[OpCo2]])-ROW(OHMeter[[#This Row],[OpCo2]])+1))</f>
        <v/>
      </c>
      <c r="B162" s="4"/>
      <c r="C162" s="25"/>
      <c r="D162" s="25"/>
      <c r="E162" s="4"/>
      <c r="F162" s="23"/>
      <c r="G162" s="24"/>
      <c r="H162" s="5" t="str">
        <f>IF(AND(ISBLANK(OHMeter[[#This Row],[Beg Ser]]),ISBLANK(OHMeter[[#This Row],[End Ser]])),"",OHMeter[[#This Row],[End Ser]]-OHMeter[[#This Row],[Beg Ser]]+1)</f>
        <v/>
      </c>
      <c r="I162" s="26"/>
      <c r="J162" s="26"/>
      <c r="K162" s="22"/>
      <c r="L162" s="26"/>
      <c r="M162" s="28"/>
      <c r="N162" s="25"/>
      <c r="O162" s="4"/>
      <c r="P162" s="27"/>
      <c r="Q162" s="5" t="str">
        <f>IF(ISBLANK(OHMeter[[#This Row],[PO Number]]),"",IF(ISBLANK(OHMeter[[#This Row],[Recv Date]]),0,1))</f>
        <v/>
      </c>
      <c r="R162" s="41"/>
    </row>
    <row r="163" spans="1:18" ht="15.6" x14ac:dyDescent="0.3">
      <c r="A163" s="5" t="str">
        <f>IF(ISBLANK(OHMeter[[#This Row],[OpCo2]]),"",COUNTA(OHMeter[[#This Row],[OpCo2]])-(COUNTA(OHMeter[[#This Row],[OpCo2]])-ROW(OHMeter[[#This Row],[OpCo2]])+1))</f>
        <v/>
      </c>
      <c r="B163" s="4"/>
      <c r="C163" s="25"/>
      <c r="D163" s="25"/>
      <c r="E163" s="4"/>
      <c r="F163" s="23"/>
      <c r="G163" s="24"/>
      <c r="H163" s="5" t="str">
        <f>IF(AND(ISBLANK(OHMeter[[#This Row],[Beg Ser]]),ISBLANK(OHMeter[[#This Row],[End Ser]])),"",OHMeter[[#This Row],[End Ser]]-OHMeter[[#This Row],[Beg Ser]]+1)</f>
        <v/>
      </c>
      <c r="I163" s="26"/>
      <c r="J163" s="26"/>
      <c r="K163" s="22"/>
      <c r="L163" s="26"/>
      <c r="M163" s="28"/>
      <c r="N163" s="25"/>
      <c r="O163" s="4"/>
      <c r="P163" s="27"/>
      <c r="Q163" s="5" t="str">
        <f>IF(ISBLANK(OHMeter[[#This Row],[PO Number]]),"",IF(ISBLANK(OHMeter[[#This Row],[Recv Date]]),0,1))</f>
        <v/>
      </c>
      <c r="R163" s="41"/>
    </row>
    <row r="164" spans="1:18" ht="15.6" x14ac:dyDescent="0.3">
      <c r="A164" s="5" t="str">
        <f>IF(ISBLANK(OHMeter[[#This Row],[OpCo2]]),"",COUNTA(OHMeter[[#This Row],[OpCo2]])-(COUNTA(OHMeter[[#This Row],[OpCo2]])-ROW(OHMeter[[#This Row],[OpCo2]])+1))</f>
        <v/>
      </c>
      <c r="B164" s="4"/>
      <c r="C164" s="25"/>
      <c r="D164" s="25"/>
      <c r="E164" s="4"/>
      <c r="F164" s="23"/>
      <c r="G164" s="24"/>
      <c r="H164" s="5" t="str">
        <f>IF(AND(ISBLANK(OHMeter[[#This Row],[Beg Ser]]),ISBLANK(OHMeter[[#This Row],[End Ser]])),"",OHMeter[[#This Row],[End Ser]]-OHMeter[[#This Row],[Beg Ser]]+1)</f>
        <v/>
      </c>
      <c r="I164" s="26"/>
      <c r="J164" s="26"/>
      <c r="K164" s="22"/>
      <c r="L164" s="26"/>
      <c r="M164" s="28"/>
      <c r="N164" s="25"/>
      <c r="O164" s="4"/>
      <c r="P164" s="27"/>
      <c r="Q164" s="5" t="str">
        <f>IF(ISBLANK(OHMeter[[#This Row],[PO Number]]),"",IF(ISBLANK(OHMeter[[#This Row],[Recv Date]]),0,1))</f>
        <v/>
      </c>
      <c r="R164" s="41"/>
    </row>
    <row r="165" spans="1:18" ht="15.6" x14ac:dyDescent="0.3">
      <c r="A165" s="5" t="str">
        <f>IF(ISBLANK(OHMeter[[#This Row],[OpCo2]]),"",COUNTA(OHMeter[[#This Row],[OpCo2]])-(COUNTA(OHMeter[[#This Row],[OpCo2]])-ROW(OHMeter[[#This Row],[OpCo2]])+1))</f>
        <v/>
      </c>
      <c r="B165" s="4"/>
      <c r="C165" s="25"/>
      <c r="D165" s="25"/>
      <c r="E165" s="4"/>
      <c r="F165" s="23"/>
      <c r="G165" s="24"/>
      <c r="H165" s="5" t="str">
        <f>IF(AND(ISBLANK(OHMeter[[#This Row],[Beg Ser]]),ISBLANK(OHMeter[[#This Row],[End Ser]])),"",OHMeter[[#This Row],[End Ser]]-OHMeter[[#This Row],[Beg Ser]]+1)</f>
        <v/>
      </c>
      <c r="I165" s="26"/>
      <c r="J165" s="26"/>
      <c r="K165" s="22"/>
      <c r="L165" s="26"/>
      <c r="M165" s="28"/>
      <c r="N165" s="25"/>
      <c r="O165" s="4"/>
      <c r="P165" s="27"/>
      <c r="Q165" s="5" t="str">
        <f>IF(ISBLANK(OHMeter[[#This Row],[PO Number]]),"",IF(ISBLANK(OHMeter[[#This Row],[Recv Date]]),0,1))</f>
        <v/>
      </c>
      <c r="R165" s="41"/>
    </row>
    <row r="166" spans="1:18" ht="15.6" x14ac:dyDescent="0.3">
      <c r="A166" s="5" t="str">
        <f>IF(ISBLANK(OHMeter[[#This Row],[OpCo2]]),"",COUNTA(OHMeter[[#This Row],[OpCo2]])-(COUNTA(OHMeter[[#This Row],[OpCo2]])-ROW(OHMeter[[#This Row],[OpCo2]])+1))</f>
        <v/>
      </c>
      <c r="B166" s="4"/>
      <c r="C166" s="25"/>
      <c r="D166" s="25"/>
      <c r="E166" s="4"/>
      <c r="F166" s="23"/>
      <c r="G166" s="24"/>
      <c r="H166" s="5" t="str">
        <f>IF(AND(ISBLANK(OHMeter[[#This Row],[Beg Ser]]),ISBLANK(OHMeter[[#This Row],[End Ser]])),"",OHMeter[[#This Row],[End Ser]]-OHMeter[[#This Row],[Beg Ser]]+1)</f>
        <v/>
      </c>
      <c r="I166" s="26"/>
      <c r="J166" s="26"/>
      <c r="K166" s="22"/>
      <c r="L166" s="26"/>
      <c r="M166" s="28"/>
      <c r="N166" s="25"/>
      <c r="O166" s="4"/>
      <c r="P166" s="27"/>
      <c r="Q166" s="5" t="str">
        <f>IF(ISBLANK(OHMeter[[#This Row],[PO Number]]),"",IF(ISBLANK(OHMeter[[#This Row],[Recv Date]]),0,1))</f>
        <v/>
      </c>
      <c r="R166" s="41"/>
    </row>
    <row r="167" spans="1:18" ht="15.6" x14ac:dyDescent="0.3">
      <c r="A167" s="5" t="str">
        <f>IF(ISBLANK(OHMeter[[#This Row],[OpCo2]]),"",COUNTA(OHMeter[[#This Row],[OpCo2]])-(COUNTA(OHMeter[[#This Row],[OpCo2]])-ROW(OHMeter[[#This Row],[OpCo2]])+1))</f>
        <v/>
      </c>
      <c r="B167" s="4"/>
      <c r="C167" s="25"/>
      <c r="D167" s="25"/>
      <c r="E167" s="4"/>
      <c r="F167" s="23"/>
      <c r="G167" s="24"/>
      <c r="H167" s="5" t="str">
        <f>IF(AND(ISBLANK(OHMeter[[#This Row],[Beg Ser]]),ISBLANK(OHMeter[[#This Row],[End Ser]])),"",OHMeter[[#This Row],[End Ser]]-OHMeter[[#This Row],[Beg Ser]]+1)</f>
        <v/>
      </c>
      <c r="I167" s="26"/>
      <c r="J167" s="26"/>
      <c r="K167" s="22"/>
      <c r="L167" s="26"/>
      <c r="M167" s="28"/>
      <c r="N167" s="25"/>
      <c r="O167" s="4"/>
      <c r="P167" s="27"/>
      <c r="Q167" s="5" t="str">
        <f>IF(ISBLANK(OHMeter[[#This Row],[PO Number]]),"",IF(ISBLANK(OHMeter[[#This Row],[Recv Date]]),0,1))</f>
        <v/>
      </c>
      <c r="R167" s="41"/>
    </row>
    <row r="168" spans="1:18" ht="15.6" x14ac:dyDescent="0.3">
      <c r="A168" s="5" t="str">
        <f>IF(ISBLANK(OHMeter[[#This Row],[OpCo2]]),"",COUNTA(OHMeter[[#This Row],[OpCo2]])-(COUNTA(OHMeter[[#This Row],[OpCo2]])-ROW(OHMeter[[#This Row],[OpCo2]])+1))</f>
        <v/>
      </c>
      <c r="B168" s="4"/>
      <c r="C168" s="25"/>
      <c r="D168" s="25"/>
      <c r="E168" s="4"/>
      <c r="F168" s="23"/>
      <c r="G168" s="24"/>
      <c r="H168" s="5" t="str">
        <f>IF(AND(ISBLANK(OHMeter[[#This Row],[Beg Ser]]),ISBLANK(OHMeter[[#This Row],[End Ser]])),"",OHMeter[[#This Row],[End Ser]]-OHMeter[[#This Row],[Beg Ser]]+1)</f>
        <v/>
      </c>
      <c r="I168" s="26"/>
      <c r="J168" s="26"/>
      <c r="K168" s="22"/>
      <c r="L168" s="26"/>
      <c r="M168" s="28"/>
      <c r="N168" s="25"/>
      <c r="O168" s="4"/>
      <c r="P168" s="27"/>
      <c r="Q168" s="5" t="str">
        <f>IF(ISBLANK(OHMeter[[#This Row],[PO Number]]),"",IF(ISBLANK(OHMeter[[#This Row],[Recv Date]]),0,1))</f>
        <v/>
      </c>
      <c r="R168" s="41"/>
    </row>
    <row r="169" spans="1:18" ht="15.6" x14ac:dyDescent="0.3">
      <c r="A169" s="5" t="str">
        <f>IF(ISBLANK(OHMeter[[#This Row],[OpCo2]]),"",COUNTA(OHMeter[[#This Row],[OpCo2]])-(COUNTA(OHMeter[[#This Row],[OpCo2]])-ROW(OHMeter[[#This Row],[OpCo2]])+1))</f>
        <v/>
      </c>
      <c r="B169" s="4"/>
      <c r="C169" s="25"/>
      <c r="D169" s="25"/>
      <c r="E169" s="4"/>
      <c r="F169" s="23"/>
      <c r="G169" s="24"/>
      <c r="H169" s="5" t="str">
        <f>IF(AND(ISBLANK(OHMeter[[#This Row],[Beg Ser]]),ISBLANK(OHMeter[[#This Row],[End Ser]])),"",OHMeter[[#This Row],[End Ser]]-OHMeter[[#This Row],[Beg Ser]]+1)</f>
        <v/>
      </c>
      <c r="I169" s="26"/>
      <c r="J169" s="26"/>
      <c r="K169" s="22"/>
      <c r="L169" s="26"/>
      <c r="M169" s="28"/>
      <c r="N169" s="25"/>
      <c r="O169" s="4"/>
      <c r="P169" s="27"/>
      <c r="Q169" s="5" t="str">
        <f>IF(ISBLANK(OHMeter[[#This Row],[PO Number]]),"",IF(ISBLANK(OHMeter[[#This Row],[Recv Date]]),0,1))</f>
        <v/>
      </c>
      <c r="R169" s="41"/>
    </row>
    <row r="170" spans="1:18" ht="15.6" x14ac:dyDescent="0.3">
      <c r="A170" s="5" t="str">
        <f>IF(ISBLANK(OHMeter[[#This Row],[OpCo2]]),"",COUNTA(OHMeter[[#This Row],[OpCo2]])-(COUNTA(OHMeter[[#This Row],[OpCo2]])-ROW(OHMeter[[#This Row],[OpCo2]])+1))</f>
        <v/>
      </c>
      <c r="B170" s="4"/>
      <c r="C170" s="25"/>
      <c r="D170" s="25"/>
      <c r="E170" s="4"/>
      <c r="F170" s="23"/>
      <c r="G170" s="24"/>
      <c r="H170" s="5" t="str">
        <f>IF(AND(ISBLANK(OHMeter[[#This Row],[Beg Ser]]),ISBLANK(OHMeter[[#This Row],[End Ser]])),"",OHMeter[[#This Row],[End Ser]]-OHMeter[[#This Row],[Beg Ser]]+1)</f>
        <v/>
      </c>
      <c r="I170" s="26"/>
      <c r="J170" s="26"/>
      <c r="K170" s="22"/>
      <c r="L170" s="26"/>
      <c r="M170" s="28"/>
      <c r="N170" s="25"/>
      <c r="O170" s="4"/>
      <c r="P170" s="27"/>
      <c r="Q170" s="5" t="str">
        <f>IF(ISBLANK(OHMeter[[#This Row],[PO Number]]),"",IF(ISBLANK(OHMeter[[#This Row],[Recv Date]]),0,1))</f>
        <v/>
      </c>
      <c r="R170" s="41"/>
    </row>
    <row r="171" spans="1:18" ht="15.6" x14ac:dyDescent="0.3">
      <c r="A171" s="5" t="str">
        <f>IF(ISBLANK(OHMeter[[#This Row],[OpCo2]]),"",COUNTA(OHMeter[[#This Row],[OpCo2]])-(COUNTA(OHMeter[[#This Row],[OpCo2]])-ROW(OHMeter[[#This Row],[OpCo2]])+1))</f>
        <v/>
      </c>
      <c r="B171" s="4"/>
      <c r="C171" s="25"/>
      <c r="D171" s="25"/>
      <c r="E171" s="4"/>
      <c r="F171" s="23"/>
      <c r="G171" s="24"/>
      <c r="H171" s="5" t="str">
        <f>IF(AND(ISBLANK(OHMeter[[#This Row],[Beg Ser]]),ISBLANK(OHMeter[[#This Row],[End Ser]])),"",OHMeter[[#This Row],[End Ser]]-OHMeter[[#This Row],[Beg Ser]]+1)</f>
        <v/>
      </c>
      <c r="I171" s="26"/>
      <c r="J171" s="26"/>
      <c r="K171" s="22"/>
      <c r="L171" s="26"/>
      <c r="M171" s="28"/>
      <c r="N171" s="25"/>
      <c r="O171" s="4"/>
      <c r="P171" s="27"/>
      <c r="Q171" s="5" t="str">
        <f>IF(ISBLANK(OHMeter[[#This Row],[PO Number]]),"",IF(ISBLANK(OHMeter[[#This Row],[Recv Date]]),0,1))</f>
        <v/>
      </c>
      <c r="R171" s="41"/>
    </row>
    <row r="172" spans="1:18" ht="15.6" x14ac:dyDescent="0.3">
      <c r="A172" s="5" t="str">
        <f>IF(ISBLANK(OHMeter[[#This Row],[OpCo2]]),"",COUNTA(OHMeter[[#This Row],[OpCo2]])-(COUNTA(OHMeter[[#This Row],[OpCo2]])-ROW(OHMeter[[#This Row],[OpCo2]])+1))</f>
        <v/>
      </c>
      <c r="B172" s="4"/>
      <c r="C172" s="25"/>
      <c r="D172" s="25"/>
      <c r="E172" s="4"/>
      <c r="F172" s="23"/>
      <c r="G172" s="24"/>
      <c r="H172" s="5" t="str">
        <f>IF(AND(ISBLANK(OHMeter[[#This Row],[Beg Ser]]),ISBLANK(OHMeter[[#This Row],[End Ser]])),"",OHMeter[[#This Row],[End Ser]]-OHMeter[[#This Row],[Beg Ser]]+1)</f>
        <v/>
      </c>
      <c r="I172" s="26"/>
      <c r="J172" s="26"/>
      <c r="K172" s="22"/>
      <c r="L172" s="26"/>
      <c r="M172" s="28"/>
      <c r="N172" s="25"/>
      <c r="O172" s="4"/>
      <c r="P172" s="27"/>
      <c r="Q172" s="5" t="str">
        <f>IF(ISBLANK(OHMeter[[#This Row],[PO Number]]),"",IF(ISBLANK(OHMeter[[#This Row],[Recv Date]]),0,1))</f>
        <v/>
      </c>
      <c r="R172" s="41"/>
    </row>
    <row r="173" spans="1:18" ht="15.6" x14ac:dyDescent="0.3">
      <c r="A173" s="5" t="str">
        <f>IF(ISBLANK(OHMeter[[#This Row],[OpCo2]]),"",COUNTA(OHMeter[[#This Row],[OpCo2]])-(COUNTA(OHMeter[[#This Row],[OpCo2]])-ROW(OHMeter[[#This Row],[OpCo2]])+1))</f>
        <v/>
      </c>
      <c r="B173" s="4"/>
      <c r="C173" s="25"/>
      <c r="D173" s="25"/>
      <c r="E173" s="4"/>
      <c r="F173" s="23"/>
      <c r="G173" s="24"/>
      <c r="H173" s="5" t="str">
        <f>IF(AND(ISBLANK(OHMeter[[#This Row],[Beg Ser]]),ISBLANK(OHMeter[[#This Row],[End Ser]])),"",OHMeter[[#This Row],[End Ser]]-OHMeter[[#This Row],[Beg Ser]]+1)</f>
        <v/>
      </c>
      <c r="I173" s="26"/>
      <c r="J173" s="26"/>
      <c r="K173" s="22"/>
      <c r="L173" s="26"/>
      <c r="M173" s="28"/>
      <c r="N173" s="25"/>
      <c r="O173" s="4"/>
      <c r="P173" s="27"/>
      <c r="Q173" s="5" t="str">
        <f>IF(ISBLANK(OHMeter[[#This Row],[PO Number]]),"",IF(ISBLANK(OHMeter[[#This Row],[Recv Date]]),0,1))</f>
        <v/>
      </c>
      <c r="R173" s="41"/>
    </row>
    <row r="174" spans="1:18" ht="15.6" x14ac:dyDescent="0.3">
      <c r="A174" s="5" t="str">
        <f>IF(ISBLANK(OHMeter[[#This Row],[OpCo2]]),"",COUNTA(OHMeter[[#This Row],[OpCo2]])-(COUNTA(OHMeter[[#This Row],[OpCo2]])-ROW(OHMeter[[#This Row],[OpCo2]])+1))</f>
        <v/>
      </c>
      <c r="B174" s="4"/>
      <c r="C174" s="25"/>
      <c r="D174" s="25"/>
      <c r="E174" s="4"/>
      <c r="F174" s="23"/>
      <c r="G174" s="24"/>
      <c r="H174" s="5" t="str">
        <f>IF(AND(ISBLANK(OHMeter[[#This Row],[Beg Ser]]),ISBLANK(OHMeter[[#This Row],[End Ser]])),"",OHMeter[[#This Row],[End Ser]]-OHMeter[[#This Row],[Beg Ser]]+1)</f>
        <v/>
      </c>
      <c r="I174" s="26"/>
      <c r="J174" s="26"/>
      <c r="K174" s="22"/>
      <c r="L174" s="26"/>
      <c r="M174" s="28"/>
      <c r="N174" s="25"/>
      <c r="O174" s="4"/>
      <c r="P174" s="27"/>
      <c r="Q174" s="5" t="str">
        <f>IF(ISBLANK(OHMeter[[#This Row],[PO Number]]),"",IF(ISBLANK(OHMeter[[#This Row],[Recv Date]]),0,1))</f>
        <v/>
      </c>
      <c r="R174" s="41"/>
    </row>
    <row r="175" spans="1:18" ht="15.6" x14ac:dyDescent="0.3">
      <c r="A175" s="5" t="str">
        <f>IF(ISBLANK(OHMeter[[#This Row],[OpCo2]]),"",COUNTA(OHMeter[[#This Row],[OpCo2]])-(COUNTA(OHMeter[[#This Row],[OpCo2]])-ROW(OHMeter[[#This Row],[OpCo2]])+1))</f>
        <v/>
      </c>
      <c r="B175" s="4"/>
      <c r="C175" s="25"/>
      <c r="D175" s="25"/>
      <c r="E175" s="4"/>
      <c r="F175" s="23"/>
      <c r="G175" s="24"/>
      <c r="H175" s="5" t="str">
        <f>IF(AND(ISBLANK(OHMeter[[#This Row],[Beg Ser]]),ISBLANK(OHMeter[[#This Row],[End Ser]])),"",OHMeter[[#This Row],[End Ser]]-OHMeter[[#This Row],[Beg Ser]]+1)</f>
        <v/>
      </c>
      <c r="I175" s="26"/>
      <c r="J175" s="26"/>
      <c r="K175" s="22"/>
      <c r="L175" s="26"/>
      <c r="M175" s="28"/>
      <c r="N175" s="25"/>
      <c r="O175" s="4"/>
      <c r="P175" s="27"/>
      <c r="Q175" s="5" t="str">
        <f>IF(ISBLANK(OHMeter[[#This Row],[PO Number]]),"",IF(ISBLANK(OHMeter[[#This Row],[Recv Date]]),0,1))</f>
        <v/>
      </c>
      <c r="R175" s="41"/>
    </row>
    <row r="176" spans="1:18" ht="15.6" x14ac:dyDescent="0.3">
      <c r="A176" s="5" t="str">
        <f>IF(ISBLANK(OHMeter[[#This Row],[OpCo2]]),"",COUNTA(OHMeter[[#This Row],[OpCo2]])-(COUNTA(OHMeter[[#This Row],[OpCo2]])-ROW(OHMeter[[#This Row],[OpCo2]])+1))</f>
        <v/>
      </c>
      <c r="B176" s="4"/>
      <c r="C176" s="25"/>
      <c r="D176" s="25"/>
      <c r="E176" s="4"/>
      <c r="F176" s="23"/>
      <c r="G176" s="24"/>
      <c r="H176" s="5" t="str">
        <f>IF(AND(ISBLANK(OHMeter[[#This Row],[Beg Ser]]),ISBLANK(OHMeter[[#This Row],[End Ser]])),"",OHMeter[[#This Row],[End Ser]]-OHMeter[[#This Row],[Beg Ser]]+1)</f>
        <v/>
      </c>
      <c r="I176" s="26"/>
      <c r="J176" s="26"/>
      <c r="K176" s="22"/>
      <c r="L176" s="26"/>
      <c r="M176" s="28"/>
      <c r="N176" s="25"/>
      <c r="O176" s="4"/>
      <c r="P176" s="27"/>
      <c r="Q176" s="5" t="str">
        <f>IF(ISBLANK(OHMeter[[#This Row],[PO Number]]),"",IF(ISBLANK(OHMeter[[#This Row],[Recv Date]]),0,1))</f>
        <v/>
      </c>
      <c r="R176" s="41"/>
    </row>
    <row r="177" spans="1:18" ht="15.6" x14ac:dyDescent="0.3">
      <c r="A177" s="5" t="str">
        <f>IF(ISBLANK(OHMeter[[#This Row],[OpCo2]]),"",COUNTA(OHMeter[[#This Row],[OpCo2]])-(COUNTA(OHMeter[[#This Row],[OpCo2]])-ROW(OHMeter[[#This Row],[OpCo2]])+1))</f>
        <v/>
      </c>
      <c r="B177" s="4"/>
      <c r="C177" s="25"/>
      <c r="D177" s="25"/>
      <c r="E177" s="4"/>
      <c r="F177" s="23"/>
      <c r="G177" s="24"/>
      <c r="H177" s="5" t="str">
        <f>IF(AND(ISBLANK(OHMeter[[#This Row],[Beg Ser]]),ISBLANK(OHMeter[[#This Row],[End Ser]])),"",OHMeter[[#This Row],[End Ser]]-OHMeter[[#This Row],[Beg Ser]]+1)</f>
        <v/>
      </c>
      <c r="I177" s="26"/>
      <c r="J177" s="26"/>
      <c r="K177" s="22"/>
      <c r="L177" s="26"/>
      <c r="M177" s="28"/>
      <c r="N177" s="25"/>
      <c r="O177" s="4"/>
      <c r="P177" s="27"/>
      <c r="Q177" s="5" t="str">
        <f>IF(ISBLANK(OHMeter[[#This Row],[PO Number]]),"",IF(ISBLANK(OHMeter[[#This Row],[Recv Date]]),0,1))</f>
        <v/>
      </c>
      <c r="R177" s="41"/>
    </row>
    <row r="178" spans="1:18" ht="15.6" x14ac:dyDescent="0.3">
      <c r="A178" s="5" t="str">
        <f>IF(ISBLANK(OHMeter[[#This Row],[OpCo2]]),"",COUNTA(OHMeter[[#This Row],[OpCo2]])-(COUNTA(OHMeter[[#This Row],[OpCo2]])-ROW(OHMeter[[#This Row],[OpCo2]])+1))</f>
        <v/>
      </c>
      <c r="B178" s="4"/>
      <c r="C178" s="25"/>
      <c r="D178" s="25"/>
      <c r="E178" s="4"/>
      <c r="F178" s="23"/>
      <c r="G178" s="24"/>
      <c r="H178" s="5" t="str">
        <f>IF(AND(ISBLANK(OHMeter[[#This Row],[Beg Ser]]),ISBLANK(OHMeter[[#This Row],[End Ser]])),"",OHMeter[[#This Row],[End Ser]]-OHMeter[[#This Row],[Beg Ser]]+1)</f>
        <v/>
      </c>
      <c r="I178" s="26"/>
      <c r="J178" s="26"/>
      <c r="K178" s="22"/>
      <c r="L178" s="26"/>
      <c r="M178" s="28"/>
      <c r="N178" s="25"/>
      <c r="O178" s="4"/>
      <c r="P178" s="27"/>
      <c r="Q178" s="5" t="str">
        <f>IF(ISBLANK(OHMeter[[#This Row],[PO Number]]),"",IF(ISBLANK(OHMeter[[#This Row],[Recv Date]]),0,1))</f>
        <v/>
      </c>
      <c r="R178" s="41"/>
    </row>
    <row r="179" spans="1:18" ht="15.6" x14ac:dyDescent="0.3">
      <c r="A179" s="5" t="str">
        <f>IF(ISBLANK(OHMeter[[#This Row],[OpCo2]]),"",COUNTA(OHMeter[[#This Row],[OpCo2]])-(COUNTA(OHMeter[[#This Row],[OpCo2]])-ROW(OHMeter[[#This Row],[OpCo2]])+1))</f>
        <v/>
      </c>
      <c r="B179" s="4"/>
      <c r="C179" s="25"/>
      <c r="D179" s="25"/>
      <c r="E179" s="4"/>
      <c r="F179" s="23"/>
      <c r="G179" s="24"/>
      <c r="H179" s="5" t="str">
        <f>IF(AND(ISBLANK(OHMeter[[#This Row],[Beg Ser]]),ISBLANK(OHMeter[[#This Row],[End Ser]])),"",OHMeter[[#This Row],[End Ser]]-OHMeter[[#This Row],[Beg Ser]]+1)</f>
        <v/>
      </c>
      <c r="I179" s="26"/>
      <c r="J179" s="26"/>
      <c r="K179" s="22"/>
      <c r="L179" s="26"/>
      <c r="M179" s="28"/>
      <c r="N179" s="25"/>
      <c r="O179" s="4"/>
      <c r="P179" s="27"/>
      <c r="Q179" s="5" t="str">
        <f>IF(ISBLANK(OHMeter[[#This Row],[PO Number]]),"",IF(ISBLANK(OHMeter[[#This Row],[Recv Date]]),0,1))</f>
        <v/>
      </c>
      <c r="R179" s="41"/>
    </row>
    <row r="180" spans="1:18" ht="15.6" x14ac:dyDescent="0.3">
      <c r="A180" s="5" t="str">
        <f>IF(ISBLANK(OHMeter[[#This Row],[OpCo2]]),"",COUNTA(OHMeter[[#This Row],[OpCo2]])-(COUNTA(OHMeter[[#This Row],[OpCo2]])-ROW(OHMeter[[#This Row],[OpCo2]])+1))</f>
        <v/>
      </c>
      <c r="B180" s="4"/>
      <c r="C180" s="25"/>
      <c r="D180" s="25"/>
      <c r="E180" s="4"/>
      <c r="F180" s="23"/>
      <c r="G180" s="24"/>
      <c r="H180" s="5" t="str">
        <f>IF(AND(ISBLANK(OHMeter[[#This Row],[Beg Ser]]),ISBLANK(OHMeter[[#This Row],[End Ser]])),"",OHMeter[[#This Row],[End Ser]]-OHMeter[[#This Row],[Beg Ser]]+1)</f>
        <v/>
      </c>
      <c r="I180" s="26"/>
      <c r="J180" s="26"/>
      <c r="K180" s="22"/>
      <c r="L180" s="26"/>
      <c r="M180" s="28"/>
      <c r="N180" s="25"/>
      <c r="O180" s="4"/>
      <c r="P180" s="27"/>
      <c r="Q180" s="5" t="str">
        <f>IF(ISBLANK(OHMeter[[#This Row],[PO Number]]),"",IF(ISBLANK(OHMeter[[#This Row],[Recv Date]]),0,1))</f>
        <v/>
      </c>
      <c r="R180" s="41"/>
    </row>
    <row r="181" spans="1:18" ht="15.6" x14ac:dyDescent="0.3">
      <c r="A181" s="5" t="str">
        <f>IF(ISBLANK(OHMeter[[#This Row],[OpCo2]]),"",COUNTA(OHMeter[[#This Row],[OpCo2]])-(COUNTA(OHMeter[[#This Row],[OpCo2]])-ROW(OHMeter[[#This Row],[OpCo2]])+1))</f>
        <v/>
      </c>
      <c r="B181" s="4"/>
      <c r="C181" s="25"/>
      <c r="D181" s="25"/>
      <c r="E181" s="4"/>
      <c r="F181" s="23"/>
      <c r="G181" s="24"/>
      <c r="H181" s="5" t="str">
        <f>IF(AND(ISBLANK(OHMeter[[#This Row],[Beg Ser]]),ISBLANK(OHMeter[[#This Row],[End Ser]])),"",OHMeter[[#This Row],[End Ser]]-OHMeter[[#This Row],[Beg Ser]]+1)</f>
        <v/>
      </c>
      <c r="I181" s="26"/>
      <c r="J181" s="26"/>
      <c r="K181" s="22"/>
      <c r="L181" s="26"/>
      <c r="M181" s="28"/>
      <c r="N181" s="25"/>
      <c r="O181" s="4"/>
      <c r="P181" s="27"/>
      <c r="Q181" s="5" t="str">
        <f>IF(ISBLANK(OHMeter[[#This Row],[PO Number]]),"",IF(ISBLANK(OHMeter[[#This Row],[Recv Date]]),0,1))</f>
        <v/>
      </c>
      <c r="R181" s="41"/>
    </row>
    <row r="182" spans="1:18" ht="15.6" x14ac:dyDescent="0.3">
      <c r="A182" s="5" t="str">
        <f>IF(ISBLANK(OHMeter[[#This Row],[OpCo2]]),"",COUNTA(OHMeter[[#This Row],[OpCo2]])-(COUNTA(OHMeter[[#This Row],[OpCo2]])-ROW(OHMeter[[#This Row],[OpCo2]])+1))</f>
        <v/>
      </c>
      <c r="B182" s="4"/>
      <c r="C182" s="25"/>
      <c r="D182" s="25"/>
      <c r="E182" s="4"/>
      <c r="F182" s="23"/>
      <c r="G182" s="24"/>
      <c r="H182" s="5" t="str">
        <f>IF(AND(ISBLANK(OHMeter[[#This Row],[Beg Ser]]),ISBLANK(OHMeter[[#This Row],[End Ser]])),"",OHMeter[[#This Row],[End Ser]]-OHMeter[[#This Row],[Beg Ser]]+1)</f>
        <v/>
      </c>
      <c r="I182" s="26"/>
      <c r="J182" s="26"/>
      <c r="K182" s="22"/>
      <c r="L182" s="26"/>
      <c r="M182" s="28"/>
      <c r="N182" s="25"/>
      <c r="O182" s="4"/>
      <c r="P182" s="27"/>
      <c r="Q182" s="5" t="str">
        <f>IF(ISBLANK(OHMeter[[#This Row],[PO Number]]),"",IF(ISBLANK(OHMeter[[#This Row],[Recv Date]]),0,1))</f>
        <v/>
      </c>
      <c r="R182" s="41"/>
    </row>
    <row r="183" spans="1:18" ht="15.6" x14ac:dyDescent="0.3">
      <c r="A183" s="5" t="str">
        <f>IF(ISBLANK(OHMeter[[#This Row],[OpCo2]]),"",COUNTA(OHMeter[[#This Row],[OpCo2]])-(COUNTA(OHMeter[[#This Row],[OpCo2]])-ROW(OHMeter[[#This Row],[OpCo2]])+1))</f>
        <v/>
      </c>
      <c r="B183" s="4"/>
      <c r="C183" s="25"/>
      <c r="D183" s="25"/>
      <c r="E183" s="4"/>
      <c r="F183" s="23"/>
      <c r="G183" s="24"/>
      <c r="H183" s="5" t="str">
        <f>IF(AND(ISBLANK(OHMeter[[#This Row],[Beg Ser]]),ISBLANK(OHMeter[[#This Row],[End Ser]])),"",OHMeter[[#This Row],[End Ser]]-OHMeter[[#This Row],[Beg Ser]]+1)</f>
        <v/>
      </c>
      <c r="I183" s="26"/>
      <c r="J183" s="26"/>
      <c r="K183" s="22"/>
      <c r="L183" s="26"/>
      <c r="M183" s="28"/>
      <c r="N183" s="25"/>
      <c r="O183" s="4"/>
      <c r="P183" s="27"/>
      <c r="Q183" s="5" t="str">
        <f>IF(ISBLANK(OHMeter[[#This Row],[PO Number]]),"",IF(ISBLANK(OHMeter[[#This Row],[Recv Date]]),0,1))</f>
        <v/>
      </c>
      <c r="R183" s="41"/>
    </row>
    <row r="184" spans="1:18" ht="15.6" x14ac:dyDescent="0.3">
      <c r="A184" s="5" t="str">
        <f>IF(ISBLANK(OHMeter[[#This Row],[OpCo2]]),"",COUNTA(OHMeter[[#This Row],[OpCo2]])-(COUNTA(OHMeter[[#This Row],[OpCo2]])-ROW(OHMeter[[#This Row],[OpCo2]])+1))</f>
        <v/>
      </c>
      <c r="B184" s="4"/>
      <c r="C184" s="25"/>
      <c r="D184" s="25"/>
      <c r="E184" s="4"/>
      <c r="F184" s="23"/>
      <c r="G184" s="24"/>
      <c r="H184" s="5" t="str">
        <f>IF(AND(ISBLANK(OHMeter[[#This Row],[Beg Ser]]),ISBLANK(OHMeter[[#This Row],[End Ser]])),"",OHMeter[[#This Row],[End Ser]]-OHMeter[[#This Row],[Beg Ser]]+1)</f>
        <v/>
      </c>
      <c r="I184" s="26"/>
      <c r="J184" s="26"/>
      <c r="K184" s="22"/>
      <c r="L184" s="26"/>
      <c r="M184" s="28"/>
      <c r="N184" s="25"/>
      <c r="O184" s="4"/>
      <c r="P184" s="27"/>
      <c r="Q184" s="5" t="str">
        <f>IF(ISBLANK(OHMeter[[#This Row],[PO Number]]),"",IF(ISBLANK(OHMeter[[#This Row],[Recv Date]]),0,1))</f>
        <v/>
      </c>
      <c r="R184" s="41"/>
    </row>
    <row r="185" spans="1:18" ht="15.6" x14ac:dyDescent="0.3">
      <c r="A185" s="5" t="str">
        <f>IF(ISBLANK(OHMeter[[#This Row],[OpCo2]]),"",COUNTA(OHMeter[[#This Row],[OpCo2]])-(COUNTA(OHMeter[[#This Row],[OpCo2]])-ROW(OHMeter[[#This Row],[OpCo2]])+1))</f>
        <v/>
      </c>
      <c r="B185" s="4"/>
      <c r="C185" s="25"/>
      <c r="D185" s="25"/>
      <c r="E185" s="4"/>
      <c r="F185" s="23"/>
      <c r="G185" s="24"/>
      <c r="H185" s="5" t="str">
        <f>IF(AND(ISBLANK(OHMeter[[#This Row],[Beg Ser]]),ISBLANK(OHMeter[[#This Row],[End Ser]])),"",OHMeter[[#This Row],[End Ser]]-OHMeter[[#This Row],[Beg Ser]]+1)</f>
        <v/>
      </c>
      <c r="I185" s="26"/>
      <c r="J185" s="26"/>
      <c r="K185" s="22"/>
      <c r="L185" s="26"/>
      <c r="M185" s="28"/>
      <c r="N185" s="25"/>
      <c r="O185" s="4"/>
      <c r="P185" s="27"/>
      <c r="Q185" s="5" t="str">
        <f>IF(ISBLANK(OHMeter[[#This Row],[PO Number]]),"",IF(ISBLANK(OHMeter[[#This Row],[Recv Date]]),0,1))</f>
        <v/>
      </c>
      <c r="R185" s="41"/>
    </row>
    <row r="186" spans="1:18" ht="15.6" x14ac:dyDescent="0.3">
      <c r="A186" s="5" t="str">
        <f>IF(ISBLANK(OHMeter[[#This Row],[OpCo2]]),"",COUNTA(OHMeter[[#This Row],[OpCo2]])-(COUNTA(OHMeter[[#This Row],[OpCo2]])-ROW(OHMeter[[#This Row],[OpCo2]])+1))</f>
        <v/>
      </c>
      <c r="B186" s="4"/>
      <c r="C186" s="25"/>
      <c r="D186" s="25"/>
      <c r="E186" s="4"/>
      <c r="F186" s="23"/>
      <c r="G186" s="24"/>
      <c r="H186" s="5" t="str">
        <f>IF(AND(ISBLANK(OHMeter[[#This Row],[Beg Ser]]),ISBLANK(OHMeter[[#This Row],[End Ser]])),"",OHMeter[[#This Row],[End Ser]]-OHMeter[[#This Row],[Beg Ser]]+1)</f>
        <v/>
      </c>
      <c r="I186" s="26"/>
      <c r="J186" s="26"/>
      <c r="K186" s="22"/>
      <c r="L186" s="26"/>
      <c r="M186" s="28"/>
      <c r="N186" s="25"/>
      <c r="O186" s="4"/>
      <c r="P186" s="27"/>
      <c r="Q186" s="5" t="str">
        <f>IF(ISBLANK(OHMeter[[#This Row],[PO Number]]),"",IF(ISBLANK(OHMeter[[#This Row],[Recv Date]]),0,1))</f>
        <v/>
      </c>
      <c r="R186" s="41"/>
    </row>
    <row r="187" spans="1:18" ht="15.6" x14ac:dyDescent="0.3">
      <c r="A187" s="5" t="str">
        <f>IF(ISBLANK(OHMeter[[#This Row],[OpCo2]]),"",COUNTA(OHMeter[[#This Row],[OpCo2]])-(COUNTA(OHMeter[[#This Row],[OpCo2]])-ROW(OHMeter[[#This Row],[OpCo2]])+1))</f>
        <v/>
      </c>
      <c r="B187" s="4"/>
      <c r="C187" s="25"/>
      <c r="D187" s="25"/>
      <c r="E187" s="4"/>
      <c r="F187" s="23"/>
      <c r="G187" s="24"/>
      <c r="H187" s="5" t="str">
        <f>IF(AND(ISBLANK(OHMeter[[#This Row],[Beg Ser]]),ISBLANK(OHMeter[[#This Row],[End Ser]])),"",OHMeter[[#This Row],[End Ser]]-OHMeter[[#This Row],[Beg Ser]]+1)</f>
        <v/>
      </c>
      <c r="I187" s="26"/>
      <c r="J187" s="26"/>
      <c r="K187" s="22"/>
      <c r="L187" s="26"/>
      <c r="M187" s="28"/>
      <c r="N187" s="25"/>
      <c r="O187" s="4"/>
      <c r="P187" s="27"/>
      <c r="Q187" s="5" t="str">
        <f>IF(ISBLANK(OHMeter[[#This Row],[PO Number]]),"",IF(ISBLANK(OHMeter[[#This Row],[Recv Date]]),0,1))</f>
        <v/>
      </c>
      <c r="R187" s="41"/>
    </row>
    <row r="188" spans="1:18" ht="15.6" x14ac:dyDescent="0.3">
      <c r="A188" s="5" t="str">
        <f>IF(ISBLANK(OHMeter[[#This Row],[OpCo2]]),"",COUNTA(OHMeter[[#This Row],[OpCo2]])-(COUNTA(OHMeter[[#This Row],[OpCo2]])-ROW(OHMeter[[#This Row],[OpCo2]])+1))</f>
        <v/>
      </c>
      <c r="B188" s="4"/>
      <c r="C188" s="25"/>
      <c r="D188" s="25"/>
      <c r="E188" s="4"/>
      <c r="F188" s="23"/>
      <c r="G188" s="24"/>
      <c r="H188" s="5" t="str">
        <f>IF(AND(ISBLANK(OHMeter[[#This Row],[Beg Ser]]),ISBLANK(OHMeter[[#This Row],[End Ser]])),"",OHMeter[[#This Row],[End Ser]]-OHMeter[[#This Row],[Beg Ser]]+1)</f>
        <v/>
      </c>
      <c r="I188" s="26"/>
      <c r="J188" s="26"/>
      <c r="K188" s="22"/>
      <c r="L188" s="26"/>
      <c r="M188" s="28"/>
      <c r="N188" s="25"/>
      <c r="O188" s="4"/>
      <c r="P188" s="27"/>
      <c r="Q188" s="5" t="str">
        <f>IF(ISBLANK(OHMeter[[#This Row],[PO Number]]),"",IF(ISBLANK(OHMeter[[#This Row],[Recv Date]]),0,1))</f>
        <v/>
      </c>
      <c r="R188" s="41"/>
    </row>
    <row r="189" spans="1:18" ht="15.6" x14ac:dyDescent="0.3">
      <c r="A189" s="5" t="str">
        <f>IF(ISBLANK(OHMeter[[#This Row],[OpCo2]]),"",COUNTA(OHMeter[[#This Row],[OpCo2]])-(COUNTA(OHMeter[[#This Row],[OpCo2]])-ROW(OHMeter[[#This Row],[OpCo2]])+1))</f>
        <v/>
      </c>
      <c r="B189" s="4"/>
      <c r="C189" s="25"/>
      <c r="D189" s="25"/>
      <c r="E189" s="4"/>
      <c r="F189" s="23"/>
      <c r="G189" s="24"/>
      <c r="H189" s="5" t="str">
        <f>IF(AND(ISBLANK(OHMeter[[#This Row],[Beg Ser]]),ISBLANK(OHMeter[[#This Row],[End Ser]])),"",OHMeter[[#This Row],[End Ser]]-OHMeter[[#This Row],[Beg Ser]]+1)</f>
        <v/>
      </c>
      <c r="I189" s="26"/>
      <c r="J189" s="26"/>
      <c r="K189" s="22"/>
      <c r="L189" s="26"/>
      <c r="M189" s="28"/>
      <c r="N189" s="25"/>
      <c r="O189" s="4"/>
      <c r="P189" s="27"/>
      <c r="Q189" s="5" t="str">
        <f>IF(ISBLANK(OHMeter[[#This Row],[PO Number]]),"",IF(ISBLANK(OHMeter[[#This Row],[Recv Date]]),0,1))</f>
        <v/>
      </c>
      <c r="R189" s="41"/>
    </row>
    <row r="190" spans="1:18" ht="15.6" x14ac:dyDescent="0.3">
      <c r="A190" s="5" t="str">
        <f>IF(ISBLANK(OHMeter[[#This Row],[OpCo2]]),"",COUNTA(OHMeter[[#This Row],[OpCo2]])-(COUNTA(OHMeter[[#This Row],[OpCo2]])-ROW(OHMeter[[#This Row],[OpCo2]])+1))</f>
        <v/>
      </c>
      <c r="B190" s="4"/>
      <c r="C190" s="25"/>
      <c r="D190" s="25"/>
      <c r="E190" s="4"/>
      <c r="F190" s="23"/>
      <c r="G190" s="24"/>
      <c r="H190" s="5" t="str">
        <f>IF(AND(ISBLANK(OHMeter[[#This Row],[Beg Ser]]),ISBLANK(OHMeter[[#This Row],[End Ser]])),"",OHMeter[[#This Row],[End Ser]]-OHMeter[[#This Row],[Beg Ser]]+1)</f>
        <v/>
      </c>
      <c r="I190" s="26"/>
      <c r="J190" s="26"/>
      <c r="K190" s="22"/>
      <c r="L190" s="26"/>
      <c r="M190" s="28"/>
      <c r="N190" s="25"/>
      <c r="O190" s="4"/>
      <c r="P190" s="27"/>
      <c r="Q190" s="5" t="str">
        <f>IF(ISBLANK(OHMeter[[#This Row],[PO Number]]),"",IF(ISBLANK(OHMeter[[#This Row],[Recv Date]]),0,1))</f>
        <v/>
      </c>
      <c r="R190" s="41"/>
    </row>
    <row r="191" spans="1:18" ht="15.6" x14ac:dyDescent="0.3">
      <c r="A191" s="5" t="str">
        <f>IF(ISBLANK(OHMeter[[#This Row],[OpCo2]]),"",COUNTA(OHMeter[[#This Row],[OpCo2]])-(COUNTA(OHMeter[[#This Row],[OpCo2]])-ROW(OHMeter[[#This Row],[OpCo2]])+1))</f>
        <v/>
      </c>
      <c r="B191" s="4"/>
      <c r="C191" s="25"/>
      <c r="D191" s="25"/>
      <c r="E191" s="4"/>
      <c r="F191" s="23"/>
      <c r="G191" s="24"/>
      <c r="H191" s="5" t="str">
        <f>IF(AND(ISBLANK(OHMeter[[#This Row],[Beg Ser]]),ISBLANK(OHMeter[[#This Row],[End Ser]])),"",OHMeter[[#This Row],[End Ser]]-OHMeter[[#This Row],[Beg Ser]]+1)</f>
        <v/>
      </c>
      <c r="I191" s="26"/>
      <c r="J191" s="26"/>
      <c r="K191" s="22"/>
      <c r="L191" s="26"/>
      <c r="M191" s="28"/>
      <c r="N191" s="25"/>
      <c r="O191" s="4"/>
      <c r="P191" s="27"/>
      <c r="Q191" s="5" t="str">
        <f>IF(ISBLANK(OHMeter[[#This Row],[PO Number]]),"",IF(ISBLANK(OHMeter[[#This Row],[Recv Date]]),0,1))</f>
        <v/>
      </c>
      <c r="R191" s="41"/>
    </row>
    <row r="192" spans="1:18" ht="15.6" x14ac:dyDescent="0.3">
      <c r="A192" s="5" t="str">
        <f>IF(ISBLANK(OHMeter[[#This Row],[OpCo2]]),"",COUNTA(OHMeter[[#This Row],[OpCo2]])-(COUNTA(OHMeter[[#This Row],[OpCo2]])-ROW(OHMeter[[#This Row],[OpCo2]])+1))</f>
        <v/>
      </c>
      <c r="B192" s="4"/>
      <c r="C192" s="25"/>
      <c r="D192" s="25"/>
      <c r="E192" s="4"/>
      <c r="F192" s="23"/>
      <c r="G192" s="24"/>
      <c r="H192" s="5" t="str">
        <f>IF(AND(ISBLANK(OHMeter[[#This Row],[Beg Ser]]),ISBLANK(OHMeter[[#This Row],[End Ser]])),"",OHMeter[[#This Row],[End Ser]]-OHMeter[[#This Row],[Beg Ser]]+1)</f>
        <v/>
      </c>
      <c r="I192" s="26"/>
      <c r="J192" s="26"/>
      <c r="K192" s="22"/>
      <c r="L192" s="26"/>
      <c r="M192" s="28"/>
      <c r="N192" s="25"/>
      <c r="O192" s="4"/>
      <c r="P192" s="27"/>
      <c r="Q192" s="5" t="str">
        <f>IF(ISBLANK(OHMeter[[#This Row],[PO Number]]),"",IF(ISBLANK(OHMeter[[#This Row],[Recv Date]]),0,1))</f>
        <v/>
      </c>
      <c r="R192" s="41"/>
    </row>
    <row r="193" spans="1:18" ht="15.6" x14ac:dyDescent="0.3">
      <c r="A193" s="5" t="str">
        <f>IF(ISBLANK(OHMeter[[#This Row],[OpCo2]]),"",COUNTA(OHMeter[[#This Row],[OpCo2]])-(COUNTA(OHMeter[[#This Row],[OpCo2]])-ROW(OHMeter[[#This Row],[OpCo2]])+1))</f>
        <v/>
      </c>
      <c r="B193" s="4"/>
      <c r="C193" s="25"/>
      <c r="D193" s="25"/>
      <c r="E193" s="4"/>
      <c r="F193" s="23"/>
      <c r="G193" s="24"/>
      <c r="H193" s="5" t="str">
        <f>IF(AND(ISBLANK(OHMeter[[#This Row],[Beg Ser]]),ISBLANK(OHMeter[[#This Row],[End Ser]])),"",OHMeter[[#This Row],[End Ser]]-OHMeter[[#This Row],[Beg Ser]]+1)</f>
        <v/>
      </c>
      <c r="I193" s="26"/>
      <c r="J193" s="26"/>
      <c r="K193" s="22"/>
      <c r="L193" s="26"/>
      <c r="M193" s="28"/>
      <c r="N193" s="25"/>
      <c r="O193" s="4"/>
      <c r="P193" s="27"/>
      <c r="Q193" s="5" t="str">
        <f>IF(ISBLANK(OHMeter[[#This Row],[PO Number]]),"",IF(ISBLANK(OHMeter[[#This Row],[Recv Date]]),0,1))</f>
        <v/>
      </c>
      <c r="R193" s="41"/>
    </row>
    <row r="194" spans="1:18" ht="15.6" x14ac:dyDescent="0.3">
      <c r="A194" s="5" t="str">
        <f>IF(ISBLANK(OHMeter[[#This Row],[OpCo2]]),"",COUNTA(OHMeter[[#This Row],[OpCo2]])-(COUNTA(OHMeter[[#This Row],[OpCo2]])-ROW(OHMeter[[#This Row],[OpCo2]])+1))</f>
        <v/>
      </c>
      <c r="B194" s="4"/>
      <c r="C194" s="25"/>
      <c r="D194" s="25"/>
      <c r="E194" s="4"/>
      <c r="F194" s="23"/>
      <c r="G194" s="24"/>
      <c r="H194" s="5" t="str">
        <f>IF(AND(ISBLANK(OHMeter[[#This Row],[Beg Ser]]),ISBLANK(OHMeter[[#This Row],[End Ser]])),"",OHMeter[[#This Row],[End Ser]]-OHMeter[[#This Row],[Beg Ser]]+1)</f>
        <v/>
      </c>
      <c r="I194" s="26"/>
      <c r="J194" s="26"/>
      <c r="K194" s="22"/>
      <c r="L194" s="26"/>
      <c r="M194" s="28"/>
      <c r="N194" s="25"/>
      <c r="O194" s="4"/>
      <c r="P194" s="27"/>
      <c r="Q194" s="5" t="str">
        <f>IF(ISBLANK(OHMeter[[#This Row],[PO Number]]),"",IF(ISBLANK(OHMeter[[#This Row],[Recv Date]]),0,1))</f>
        <v/>
      </c>
      <c r="R194" s="41"/>
    </row>
    <row r="195" spans="1:18" ht="15.6" x14ac:dyDescent="0.3">
      <c r="A195" s="5" t="str">
        <f>IF(ISBLANK(OHMeter[[#This Row],[OpCo2]]),"",COUNTA(OHMeter[[#This Row],[OpCo2]])-(COUNTA(OHMeter[[#This Row],[OpCo2]])-ROW(OHMeter[[#This Row],[OpCo2]])+1))</f>
        <v/>
      </c>
      <c r="B195" s="4"/>
      <c r="C195" s="25"/>
      <c r="D195" s="25"/>
      <c r="E195" s="4"/>
      <c r="F195" s="23"/>
      <c r="G195" s="24"/>
      <c r="H195" s="5" t="str">
        <f>IF(AND(ISBLANK(OHMeter[[#This Row],[Beg Ser]]),ISBLANK(OHMeter[[#This Row],[End Ser]])),"",OHMeter[[#This Row],[End Ser]]-OHMeter[[#This Row],[Beg Ser]]+1)</f>
        <v/>
      </c>
      <c r="I195" s="26"/>
      <c r="J195" s="26"/>
      <c r="K195" s="22"/>
      <c r="L195" s="26"/>
      <c r="M195" s="28"/>
      <c r="N195" s="25"/>
      <c r="O195" s="4"/>
      <c r="P195" s="27"/>
      <c r="Q195" s="5" t="str">
        <f>IF(ISBLANK(OHMeter[[#This Row],[PO Number]]),"",IF(ISBLANK(OHMeter[[#This Row],[Recv Date]]),0,1))</f>
        <v/>
      </c>
      <c r="R195" s="41"/>
    </row>
    <row r="196" spans="1:18" ht="15.6" x14ac:dyDescent="0.3">
      <c r="A196" s="5" t="str">
        <f>IF(ISBLANK(OHMeter[[#This Row],[OpCo2]]),"",COUNTA(OHMeter[[#This Row],[OpCo2]])-(COUNTA(OHMeter[[#This Row],[OpCo2]])-ROW(OHMeter[[#This Row],[OpCo2]])+1))</f>
        <v/>
      </c>
      <c r="B196" s="4"/>
      <c r="C196" s="25"/>
      <c r="D196" s="25"/>
      <c r="E196" s="4"/>
      <c r="F196" s="23"/>
      <c r="G196" s="24"/>
      <c r="H196" s="5" t="str">
        <f>IF(AND(ISBLANK(OHMeter[[#This Row],[Beg Ser]]),ISBLANK(OHMeter[[#This Row],[End Ser]])),"",OHMeter[[#This Row],[End Ser]]-OHMeter[[#This Row],[Beg Ser]]+1)</f>
        <v/>
      </c>
      <c r="I196" s="26"/>
      <c r="J196" s="26"/>
      <c r="K196" s="22"/>
      <c r="L196" s="26"/>
      <c r="M196" s="28"/>
      <c r="N196" s="25"/>
      <c r="O196" s="4"/>
      <c r="P196" s="27"/>
      <c r="Q196" s="5" t="str">
        <f>IF(ISBLANK(OHMeter[[#This Row],[PO Number]]),"",IF(ISBLANK(OHMeter[[#This Row],[Recv Date]]),0,1))</f>
        <v/>
      </c>
      <c r="R196" s="41"/>
    </row>
    <row r="197" spans="1:18" ht="15.6" x14ac:dyDescent="0.3">
      <c r="A197" s="5" t="str">
        <f>IF(ISBLANK(OHMeter[[#This Row],[OpCo2]]),"",COUNTA(OHMeter[[#This Row],[OpCo2]])-(COUNTA(OHMeter[[#This Row],[OpCo2]])-ROW(OHMeter[[#This Row],[OpCo2]])+1))</f>
        <v/>
      </c>
      <c r="B197" s="4"/>
      <c r="C197" s="25"/>
      <c r="D197" s="25"/>
      <c r="E197" s="4"/>
      <c r="F197" s="23"/>
      <c r="G197" s="24"/>
      <c r="H197" s="5" t="str">
        <f>IF(AND(ISBLANK(OHMeter[[#This Row],[Beg Ser]]),ISBLANK(OHMeter[[#This Row],[End Ser]])),"",OHMeter[[#This Row],[End Ser]]-OHMeter[[#This Row],[Beg Ser]]+1)</f>
        <v/>
      </c>
      <c r="I197" s="26"/>
      <c r="J197" s="26"/>
      <c r="K197" s="22"/>
      <c r="L197" s="26"/>
      <c r="M197" s="28"/>
      <c r="N197" s="25"/>
      <c r="O197" s="4"/>
      <c r="P197" s="27"/>
      <c r="Q197" s="5" t="str">
        <f>IF(ISBLANK(OHMeter[[#This Row],[PO Number]]),"",IF(ISBLANK(OHMeter[[#This Row],[Recv Date]]),0,1))</f>
        <v/>
      </c>
      <c r="R197" s="41"/>
    </row>
    <row r="198" spans="1:18" ht="15.6" x14ac:dyDescent="0.3">
      <c r="A198" s="5" t="str">
        <f>IF(ISBLANK(OHMeter[[#This Row],[OpCo2]]),"",COUNTA(OHMeter[[#This Row],[OpCo2]])-(COUNTA(OHMeter[[#This Row],[OpCo2]])-ROW(OHMeter[[#This Row],[OpCo2]])+1))</f>
        <v/>
      </c>
      <c r="B198" s="4"/>
      <c r="C198" s="25"/>
      <c r="D198" s="25"/>
      <c r="E198" s="4"/>
      <c r="F198" s="23"/>
      <c r="G198" s="24"/>
      <c r="H198" s="5" t="str">
        <f>IF(AND(ISBLANK(OHMeter[[#This Row],[Beg Ser]]),ISBLANK(OHMeter[[#This Row],[End Ser]])),"",OHMeter[[#This Row],[End Ser]]-OHMeter[[#This Row],[Beg Ser]]+1)</f>
        <v/>
      </c>
      <c r="I198" s="26"/>
      <c r="J198" s="26"/>
      <c r="K198" s="22"/>
      <c r="L198" s="26"/>
      <c r="M198" s="28"/>
      <c r="N198" s="25"/>
      <c r="O198" s="4"/>
      <c r="P198" s="27"/>
      <c r="Q198" s="5" t="str">
        <f>IF(ISBLANK(OHMeter[[#This Row],[PO Number]]),"",IF(ISBLANK(OHMeter[[#This Row],[Recv Date]]),0,1))</f>
        <v/>
      </c>
      <c r="R198" s="41"/>
    </row>
    <row r="199" spans="1:18" ht="15.6" x14ac:dyDescent="0.3">
      <c r="A199" s="5" t="str">
        <f>IF(ISBLANK(OHMeter[[#This Row],[OpCo2]]),"",COUNTA(OHMeter[[#This Row],[OpCo2]])-(COUNTA(OHMeter[[#This Row],[OpCo2]])-ROW(OHMeter[[#This Row],[OpCo2]])+1))</f>
        <v/>
      </c>
      <c r="B199" s="4"/>
      <c r="C199" s="25"/>
      <c r="D199" s="25"/>
      <c r="E199" s="4"/>
      <c r="F199" s="23"/>
      <c r="G199" s="24"/>
      <c r="H199" s="5" t="str">
        <f>IF(AND(ISBLANK(OHMeter[[#This Row],[Beg Ser]]),ISBLANK(OHMeter[[#This Row],[End Ser]])),"",OHMeter[[#This Row],[End Ser]]-OHMeter[[#This Row],[Beg Ser]]+1)</f>
        <v/>
      </c>
      <c r="I199" s="26"/>
      <c r="J199" s="26"/>
      <c r="K199" s="22"/>
      <c r="L199" s="26"/>
      <c r="M199" s="28"/>
      <c r="N199" s="25"/>
      <c r="O199" s="4"/>
      <c r="P199" s="27"/>
      <c r="Q199" s="5" t="str">
        <f>IF(ISBLANK(OHMeter[[#This Row],[PO Number]]),"",IF(ISBLANK(OHMeter[[#This Row],[Recv Date]]),0,1))</f>
        <v/>
      </c>
      <c r="R199" s="41"/>
    </row>
    <row r="200" spans="1:18" ht="15.6" x14ac:dyDescent="0.3">
      <c r="A200" s="5" t="str">
        <f>IF(ISBLANK(OHMeter[[#This Row],[OpCo2]]),"",COUNTA(OHMeter[[#This Row],[OpCo2]])-(COUNTA(OHMeter[[#This Row],[OpCo2]])-ROW(OHMeter[[#This Row],[OpCo2]])+1))</f>
        <v/>
      </c>
      <c r="B200" s="4"/>
      <c r="C200" s="25"/>
      <c r="D200" s="25"/>
      <c r="E200" s="4"/>
      <c r="F200" s="23"/>
      <c r="G200" s="24"/>
      <c r="H200" s="5" t="str">
        <f>IF(AND(ISBLANK(OHMeter[[#This Row],[Beg Ser]]),ISBLANK(OHMeter[[#This Row],[End Ser]])),"",OHMeter[[#This Row],[End Ser]]-OHMeter[[#This Row],[Beg Ser]]+1)</f>
        <v/>
      </c>
      <c r="I200" s="26"/>
      <c r="J200" s="26"/>
      <c r="K200" s="22"/>
      <c r="L200" s="26"/>
      <c r="M200" s="28"/>
      <c r="N200" s="25"/>
      <c r="O200" s="4"/>
      <c r="P200" s="27"/>
      <c r="Q200" s="5" t="str">
        <f>IF(ISBLANK(OHMeter[[#This Row],[PO Number]]),"",IF(ISBLANK(OHMeter[[#This Row],[Recv Date]]),0,1))</f>
        <v/>
      </c>
      <c r="R200" s="41"/>
    </row>
    <row r="201" spans="1:18" ht="15.6" x14ac:dyDescent="0.3">
      <c r="A201" s="5" t="str">
        <f>IF(ISBLANK(OHMeter[[#This Row],[OpCo2]]),"",COUNTA(OHMeter[[#This Row],[OpCo2]])-(COUNTA(OHMeter[[#This Row],[OpCo2]])-ROW(OHMeter[[#This Row],[OpCo2]])+1))</f>
        <v/>
      </c>
      <c r="B201" s="4"/>
      <c r="C201" s="25"/>
      <c r="D201" s="25"/>
      <c r="E201" s="4"/>
      <c r="F201" s="23"/>
      <c r="G201" s="24"/>
      <c r="H201" s="5" t="str">
        <f>IF(AND(ISBLANK(OHMeter[[#This Row],[Beg Ser]]),ISBLANK(OHMeter[[#This Row],[End Ser]])),"",OHMeter[[#This Row],[End Ser]]-OHMeter[[#This Row],[Beg Ser]]+1)</f>
        <v/>
      </c>
      <c r="I201" s="26"/>
      <c r="J201" s="26"/>
      <c r="K201" s="22"/>
      <c r="L201" s="26"/>
      <c r="M201" s="28"/>
      <c r="N201" s="25"/>
      <c r="O201" s="4"/>
      <c r="P201" s="27"/>
      <c r="Q201" s="5" t="str">
        <f>IF(ISBLANK(OHMeter[[#This Row],[PO Number]]),"",IF(ISBLANK(OHMeter[[#This Row],[Recv Date]]),0,1))</f>
        <v/>
      </c>
      <c r="R201" s="41"/>
    </row>
  </sheetData>
  <dataConsolidate/>
  <phoneticPr fontId="6" type="noConversion"/>
  <conditionalFormatting sqref="B1:B1048576 P1:P1048576">
    <cfRule type="expression" dxfId="17" priority="6">
      <formula>$B1="IM"</formula>
    </cfRule>
    <cfRule type="expression" dxfId="16" priority="7">
      <formula>$B1="OH"</formula>
    </cfRule>
  </conditionalFormatting>
  <conditionalFormatting sqref="F2">
    <cfRule type="duplicateValues" dxfId="15" priority="8"/>
  </conditionalFormatting>
  <conditionalFormatting sqref="F2:G201">
    <cfRule type="duplicateValues" dxfId="14" priority="1"/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4D442C69-2DBE-404B-BECA-B3E1BFCE2A9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00B96-ED74-4E08-B2CB-189263AB7E0E}">
  <sheetPr codeName="Sheet3">
    <tabColor rgb="FF0070C0"/>
  </sheetPr>
  <dimension ref="A1:U242"/>
  <sheetViews>
    <sheetView workbookViewId="0">
      <selection activeCell="J2" sqref="J2"/>
    </sheetView>
  </sheetViews>
  <sheetFormatPr defaultRowHeight="14.4" x14ac:dyDescent="0.3"/>
  <cols>
    <col min="1" max="1" width="5.6640625" style="1" customWidth="1"/>
    <col min="2" max="2" width="9.109375" style="1"/>
    <col min="3" max="3" width="9.33203125" style="2" customWidth="1"/>
    <col min="4" max="4" width="7.6640625" style="2" customWidth="1"/>
    <col min="5" max="5" width="12.33203125" style="1" customWidth="1"/>
    <col min="6" max="7" width="16.6640625" style="1" customWidth="1"/>
    <col min="8" max="8" width="10.6640625" style="1" customWidth="1"/>
    <col min="9" max="10" width="12.6640625" style="14" customWidth="1"/>
    <col min="11" max="11" width="14.5546875" style="15" customWidth="1"/>
    <col min="12" max="12" width="12.88671875" style="14" customWidth="1"/>
    <col min="13" max="13" width="12.6640625" style="12" customWidth="1"/>
    <col min="14" max="14" width="14.6640625" style="2" customWidth="1"/>
    <col min="15" max="15" width="10.6640625" style="1" customWidth="1"/>
    <col min="16" max="16" width="12.5546875" style="1" customWidth="1"/>
  </cols>
  <sheetData>
    <row r="1" spans="1:21" ht="18" x14ac:dyDescent="0.3">
      <c r="A1" s="8" t="s">
        <v>174</v>
      </c>
      <c r="B1" s="8" t="s">
        <v>173</v>
      </c>
      <c r="C1" s="9" t="s">
        <v>15</v>
      </c>
      <c r="D1" s="9" t="s">
        <v>14</v>
      </c>
      <c r="E1" s="8" t="s">
        <v>13</v>
      </c>
      <c r="F1" s="16" t="s">
        <v>12</v>
      </c>
      <c r="G1" s="17" t="s">
        <v>11</v>
      </c>
      <c r="H1" s="8" t="s">
        <v>10</v>
      </c>
      <c r="I1" s="13" t="s">
        <v>9</v>
      </c>
      <c r="J1" s="13" t="s">
        <v>214</v>
      </c>
      <c r="K1" s="8" t="s">
        <v>8</v>
      </c>
      <c r="L1" s="13" t="s">
        <v>7</v>
      </c>
      <c r="M1" s="10" t="s">
        <v>6</v>
      </c>
      <c r="N1" s="9" t="s">
        <v>5</v>
      </c>
      <c r="O1" s="8" t="s">
        <v>4</v>
      </c>
      <c r="P1" s="8" t="s">
        <v>3</v>
      </c>
      <c r="Q1" s="8" t="s">
        <v>69</v>
      </c>
      <c r="R1" s="8" t="s">
        <v>213</v>
      </c>
      <c r="T1" s="3"/>
      <c r="U1" s="3"/>
    </row>
    <row r="2" spans="1:21" ht="15.6" x14ac:dyDescent="0.3">
      <c r="A2" s="5">
        <f>IF(ISBLANK(IMMeter[[#This Row],[OpCo2]]),"",COUNTA(IMMeter[[#This Row],[OpCo2]])-(COUNTA(IMMeter[[#This Row],[OpCo2]])-ROW(IMMeter[[#This Row],[OpCo2]])+1))</f>
        <v>1</v>
      </c>
      <c r="B2" s="5" t="s">
        <v>18</v>
      </c>
      <c r="C2" s="6" t="s">
        <v>2</v>
      </c>
      <c r="D2" s="6" t="s">
        <v>1</v>
      </c>
      <c r="E2" s="5" t="s">
        <v>62</v>
      </c>
      <c r="F2" s="18">
        <v>999644903</v>
      </c>
      <c r="G2" s="19">
        <v>999648742</v>
      </c>
      <c r="H2" s="5">
        <f>IF(AND(ISBLANK(IMMeter[[#This Row],[Beg Ser]]),ISBLANK(IMMeter[[#This Row],[End Ser]])),"",IMMeter[[#This Row],[End Ser]]-IMMeter[[#This Row],[Beg Ser]]+1)</f>
        <v>3840</v>
      </c>
      <c r="I2" s="7">
        <v>44463</v>
      </c>
      <c r="J2" s="7"/>
      <c r="K2" s="22">
        <v>80410143</v>
      </c>
      <c r="L2" s="7">
        <v>45065</v>
      </c>
      <c r="M2" s="11">
        <v>105.14</v>
      </c>
      <c r="N2" s="6" t="s">
        <v>63</v>
      </c>
      <c r="O2" s="5">
        <v>71055999</v>
      </c>
      <c r="P2" s="5" t="s">
        <v>62</v>
      </c>
      <c r="Q2" s="5">
        <f>IF(ISBLANK(IMMeter[[#This Row],[PO Number]]),"",IF(ISBLANK(IMMeter[[#This Row],[Recv Date]]),0,1))</f>
        <v>1</v>
      </c>
      <c r="R2" s="54"/>
      <c r="T2" s="3"/>
      <c r="U2" s="3"/>
    </row>
    <row r="3" spans="1:21" ht="15.6" x14ac:dyDescent="0.3">
      <c r="A3" s="5">
        <f>IF(ISBLANK(IMMeter[[#This Row],[OpCo2]]),"",COUNTA(IMMeter[[#This Row],[OpCo2]])-(COUNTA(IMMeter[[#This Row],[OpCo2]])-ROW(IMMeter[[#This Row],[OpCo2]])+1))</f>
        <v>2</v>
      </c>
      <c r="B3" s="5" t="s">
        <v>18</v>
      </c>
      <c r="C3" s="6" t="s">
        <v>2</v>
      </c>
      <c r="D3" s="6" t="s">
        <v>1</v>
      </c>
      <c r="E3" s="5" t="s">
        <v>62</v>
      </c>
      <c r="F3" s="18">
        <v>910862724</v>
      </c>
      <c r="G3" s="19">
        <v>910870523</v>
      </c>
      <c r="H3" s="5">
        <f>IF(AND(ISBLANK(IMMeter[[#This Row],[Beg Ser]]),ISBLANK(IMMeter[[#This Row],[End Ser]])),"",IMMeter[[#This Row],[End Ser]]-IMMeter[[#This Row],[Beg Ser]]+1)</f>
        <v>7800</v>
      </c>
      <c r="I3" s="7">
        <v>44463</v>
      </c>
      <c r="J3" s="7"/>
      <c r="K3" s="22">
        <v>80410147</v>
      </c>
      <c r="L3" s="7">
        <v>45098</v>
      </c>
      <c r="M3" s="11">
        <v>110.4</v>
      </c>
      <c r="N3" s="6" t="s">
        <v>63</v>
      </c>
      <c r="O3" s="5">
        <v>71055999</v>
      </c>
      <c r="P3" s="5" t="s">
        <v>62</v>
      </c>
      <c r="Q3" s="5">
        <f>IF(ISBLANK(IMMeter[[#This Row],[PO Number]]),"",IF(ISBLANK(IMMeter[[#This Row],[Recv Date]]),0,1))</f>
        <v>1</v>
      </c>
      <c r="R3" s="54"/>
      <c r="T3" s="3"/>
      <c r="U3" s="3"/>
    </row>
    <row r="4" spans="1:21" ht="15.6" x14ac:dyDescent="0.3">
      <c r="A4" s="5">
        <f>IF(ISBLANK(IMMeter[[#This Row],[OpCo2]]),"",COUNTA(IMMeter[[#This Row],[OpCo2]])-(COUNTA(IMMeter[[#This Row],[OpCo2]])-ROW(IMMeter[[#This Row],[OpCo2]])+1))</f>
        <v>3</v>
      </c>
      <c r="B4" s="5" t="s">
        <v>18</v>
      </c>
      <c r="C4" s="6" t="s">
        <v>2</v>
      </c>
      <c r="D4" s="6" t="s">
        <v>1</v>
      </c>
      <c r="E4" s="5" t="s">
        <v>62</v>
      </c>
      <c r="F4" s="18">
        <v>910930608</v>
      </c>
      <c r="G4" s="19">
        <v>910934807</v>
      </c>
      <c r="H4" s="5">
        <f>IF(AND(ISBLANK(IMMeter[[#This Row],[Beg Ser]]),ISBLANK(IMMeter[[#This Row],[End Ser]])),"",IMMeter[[#This Row],[End Ser]]-IMMeter[[#This Row],[Beg Ser]]+1)</f>
        <v>4200</v>
      </c>
      <c r="I4" s="7">
        <v>44463</v>
      </c>
      <c r="J4" s="7"/>
      <c r="K4" s="22">
        <v>80410152</v>
      </c>
      <c r="L4" s="7">
        <v>45098</v>
      </c>
      <c r="M4" s="11">
        <v>110.4</v>
      </c>
      <c r="N4" s="6" t="s">
        <v>63</v>
      </c>
      <c r="O4" s="5">
        <v>71055999</v>
      </c>
      <c r="P4" s="5" t="s">
        <v>62</v>
      </c>
      <c r="Q4" s="5">
        <f>IF(ISBLANK(IMMeter[[#This Row],[PO Number]]),"",IF(ISBLANK(IMMeter[[#This Row],[Recv Date]]),0,1))</f>
        <v>1</v>
      </c>
      <c r="R4" s="54"/>
      <c r="T4" s="3"/>
      <c r="U4" s="3"/>
    </row>
    <row r="5" spans="1:21" ht="15.6" x14ac:dyDescent="0.3">
      <c r="A5" s="5">
        <f>IF(ISBLANK(IMMeter[[#This Row],[OpCo2]]),"",COUNTA(IMMeter[[#This Row],[OpCo2]])-(COUNTA(IMMeter[[#This Row],[OpCo2]])-ROW(IMMeter[[#This Row],[OpCo2]])+1))</f>
        <v>4</v>
      </c>
      <c r="B5" s="5" t="s">
        <v>18</v>
      </c>
      <c r="C5" s="6" t="s">
        <v>2</v>
      </c>
      <c r="D5" s="6" t="s">
        <v>1</v>
      </c>
      <c r="E5" s="5" t="s">
        <v>62</v>
      </c>
      <c r="F5" s="18">
        <v>910892437</v>
      </c>
      <c r="G5" s="19">
        <v>910899396</v>
      </c>
      <c r="H5" s="5">
        <f>IF(AND(ISBLANK(IMMeter[[#This Row],[Beg Ser]]),ISBLANK(IMMeter[[#This Row],[End Ser]])),"",IMMeter[[#This Row],[End Ser]]-IMMeter[[#This Row],[Beg Ser]]+1)</f>
        <v>6960</v>
      </c>
      <c r="I5" s="7">
        <v>44722</v>
      </c>
      <c r="J5" s="7"/>
      <c r="K5" s="22">
        <v>80848176</v>
      </c>
      <c r="L5" s="7">
        <v>45096</v>
      </c>
      <c r="M5" s="11">
        <v>110.4</v>
      </c>
      <c r="N5" s="6" t="s">
        <v>63</v>
      </c>
      <c r="O5" s="5">
        <v>71055999</v>
      </c>
      <c r="P5" s="5" t="s">
        <v>62</v>
      </c>
      <c r="Q5" s="5">
        <f>IF(ISBLANK(IMMeter[[#This Row],[PO Number]]),"",IF(ISBLANK(IMMeter[[#This Row],[Recv Date]]),0,1))</f>
        <v>1</v>
      </c>
      <c r="R5" s="54"/>
      <c r="T5" s="3"/>
      <c r="U5" s="3"/>
    </row>
    <row r="6" spans="1:21" ht="15.6" x14ac:dyDescent="0.3">
      <c r="A6" s="5">
        <f>IF(ISBLANK(IMMeter[[#This Row],[OpCo2]]),"",COUNTA(IMMeter[[#This Row],[OpCo2]])-(COUNTA(IMMeter[[#This Row],[OpCo2]])-ROW(IMMeter[[#This Row],[OpCo2]])+1))</f>
        <v>5</v>
      </c>
      <c r="B6" s="5" t="s">
        <v>18</v>
      </c>
      <c r="C6" s="6" t="s">
        <v>2</v>
      </c>
      <c r="D6" s="6" t="s">
        <v>1</v>
      </c>
      <c r="E6" s="5" t="s">
        <v>62</v>
      </c>
      <c r="F6" s="18">
        <v>910906357</v>
      </c>
      <c r="G6" s="19">
        <v>910913316</v>
      </c>
      <c r="H6" s="5">
        <f>IF(AND(ISBLANK(IMMeter[[#This Row],[Beg Ser]]),ISBLANK(IMMeter[[#This Row],[End Ser]])),"",IMMeter[[#This Row],[End Ser]]-IMMeter[[#This Row],[Beg Ser]]+1)</f>
        <v>6960</v>
      </c>
      <c r="I6" s="7">
        <v>44725</v>
      </c>
      <c r="J6" s="7"/>
      <c r="K6" s="22">
        <v>80848187</v>
      </c>
      <c r="L6" s="7">
        <v>45103</v>
      </c>
      <c r="M6" s="11">
        <v>110.4</v>
      </c>
      <c r="N6" s="6" t="s">
        <v>63</v>
      </c>
      <c r="O6" s="5">
        <v>71055999</v>
      </c>
      <c r="P6" s="5" t="s">
        <v>62</v>
      </c>
      <c r="Q6" s="5">
        <f>IF(ISBLANK(IMMeter[[#This Row],[PO Number]]),"",IF(ISBLANK(IMMeter[[#This Row],[Recv Date]]),0,1))</f>
        <v>1</v>
      </c>
      <c r="R6" s="54"/>
      <c r="T6" s="3"/>
      <c r="U6" s="3"/>
    </row>
    <row r="7" spans="1:21" ht="15.6" x14ac:dyDescent="0.3">
      <c r="A7" s="5">
        <f>IF(ISBLANK(IMMeter[[#This Row],[OpCo2]]),"",COUNTA(IMMeter[[#This Row],[OpCo2]])-(COUNTA(IMMeter[[#This Row],[OpCo2]])-ROW(IMMeter[[#This Row],[OpCo2]])+1))</f>
        <v>6</v>
      </c>
      <c r="B7" s="5" t="s">
        <v>18</v>
      </c>
      <c r="C7" s="6" t="s">
        <v>2</v>
      </c>
      <c r="D7" s="6" t="s">
        <v>1</v>
      </c>
      <c r="E7" s="5" t="s">
        <v>62</v>
      </c>
      <c r="F7" s="20">
        <v>910899397</v>
      </c>
      <c r="G7" s="21">
        <v>910906356</v>
      </c>
      <c r="H7" s="5">
        <f>IF(AND(ISBLANK(IMMeter[[#This Row],[Beg Ser]]),ISBLANK(IMMeter[[#This Row],[End Ser]])),"",IMMeter[[#This Row],[End Ser]]-IMMeter[[#This Row],[Beg Ser]]+1)</f>
        <v>6960</v>
      </c>
      <c r="I7" s="7">
        <v>44722</v>
      </c>
      <c r="J7" s="7"/>
      <c r="K7" s="22">
        <v>80848181</v>
      </c>
      <c r="L7" s="7">
        <v>45103</v>
      </c>
      <c r="M7" s="11">
        <v>110.4</v>
      </c>
      <c r="N7" s="6" t="s">
        <v>63</v>
      </c>
      <c r="O7" s="5">
        <v>71055999</v>
      </c>
      <c r="P7" s="5" t="s">
        <v>62</v>
      </c>
      <c r="Q7" s="5">
        <f>IF(ISBLANK(IMMeter[[#This Row],[PO Number]]),"",IF(ISBLANK(IMMeter[[#This Row],[Recv Date]]),0,1))</f>
        <v>1</v>
      </c>
      <c r="R7" s="54"/>
    </row>
    <row r="8" spans="1:21" ht="15.6" x14ac:dyDescent="0.3">
      <c r="A8" s="5">
        <f>IF(ISBLANK(IMMeter[[#This Row],[OpCo2]]),"",COUNTA(IMMeter[[#This Row],[OpCo2]])-(COUNTA(IMMeter[[#This Row],[OpCo2]])-ROW(IMMeter[[#This Row],[OpCo2]])+1))</f>
        <v>7</v>
      </c>
      <c r="B8" s="5" t="s">
        <v>18</v>
      </c>
      <c r="C8" s="6" t="s">
        <v>2</v>
      </c>
      <c r="D8" s="6" t="s">
        <v>1</v>
      </c>
      <c r="E8" s="5" t="s">
        <v>62</v>
      </c>
      <c r="F8" s="20">
        <v>910934808</v>
      </c>
      <c r="G8" s="21">
        <v>910942607</v>
      </c>
      <c r="H8" s="5">
        <f>IF(AND(ISBLANK(IMMeter[[#This Row],[Beg Ser]]),ISBLANK(IMMeter[[#This Row],[End Ser]])),"",IMMeter[[#This Row],[End Ser]]-IMMeter[[#This Row],[Beg Ser]]+1)</f>
        <v>7800</v>
      </c>
      <c r="I8" s="7">
        <v>44463</v>
      </c>
      <c r="J8" s="7"/>
      <c r="K8" s="22">
        <v>80410151</v>
      </c>
      <c r="L8" s="7">
        <v>45105</v>
      </c>
      <c r="M8" s="11">
        <v>110.4</v>
      </c>
      <c r="N8" s="6" t="s">
        <v>63</v>
      </c>
      <c r="O8" s="5">
        <v>71055999</v>
      </c>
      <c r="P8" s="5" t="s">
        <v>62</v>
      </c>
      <c r="Q8" s="5">
        <f>IF(ISBLANK(IMMeter[[#This Row],[PO Number]]),"",IF(ISBLANK(IMMeter[[#This Row],[Recv Date]]),0,1))</f>
        <v>1</v>
      </c>
      <c r="R8" s="54"/>
    </row>
    <row r="9" spans="1:21" ht="15.6" x14ac:dyDescent="0.3">
      <c r="A9" s="5">
        <f>IF(ISBLANK(IMMeter[[#This Row],[OpCo2]]),"",COUNTA(IMMeter[[#This Row],[OpCo2]])-(COUNTA(IMMeter[[#This Row],[OpCo2]])-ROW(IMMeter[[#This Row],[OpCo2]])+1))</f>
        <v>8</v>
      </c>
      <c r="B9" s="5" t="s">
        <v>18</v>
      </c>
      <c r="C9" s="6" t="s">
        <v>2</v>
      </c>
      <c r="D9" s="6" t="s">
        <v>1</v>
      </c>
      <c r="E9" s="5" t="s">
        <v>62</v>
      </c>
      <c r="F9" s="18">
        <v>910913317</v>
      </c>
      <c r="G9" s="19">
        <v>910920276</v>
      </c>
      <c r="H9" s="5">
        <f>IF(AND(ISBLANK(IMMeter[[#This Row],[Beg Ser]]),ISBLANK(IMMeter[[#This Row],[End Ser]])),"",IMMeter[[#This Row],[End Ser]]-IMMeter[[#This Row],[Beg Ser]]+1)</f>
        <v>6960</v>
      </c>
      <c r="I9" s="7">
        <v>44722</v>
      </c>
      <c r="J9" s="7"/>
      <c r="K9" s="22">
        <v>80848185</v>
      </c>
      <c r="L9" s="7">
        <v>45105</v>
      </c>
      <c r="M9" s="11">
        <v>110.4</v>
      </c>
      <c r="N9" s="6" t="s">
        <v>63</v>
      </c>
      <c r="O9" s="5">
        <v>71055999</v>
      </c>
      <c r="P9" s="5" t="s">
        <v>62</v>
      </c>
      <c r="Q9" s="5">
        <f>IF(ISBLANK(IMMeter[[#This Row],[PO Number]]),"",IF(ISBLANK(IMMeter[[#This Row],[Recv Date]]),0,1))</f>
        <v>1</v>
      </c>
      <c r="R9" s="54"/>
    </row>
    <row r="10" spans="1:21" ht="15.6" x14ac:dyDescent="0.3">
      <c r="A10" s="5">
        <f>IF(ISBLANK(IMMeter[[#This Row],[OpCo2]]),"",COUNTA(IMMeter[[#This Row],[OpCo2]])-(COUNTA(IMMeter[[#This Row],[OpCo2]])-ROW(IMMeter[[#This Row],[OpCo2]])+1))</f>
        <v>9</v>
      </c>
      <c r="B10" s="5" t="s">
        <v>18</v>
      </c>
      <c r="C10" s="6" t="s">
        <v>2</v>
      </c>
      <c r="D10" s="6" t="s">
        <v>1</v>
      </c>
      <c r="E10" s="5" t="s">
        <v>65</v>
      </c>
      <c r="F10" s="20">
        <v>994463667</v>
      </c>
      <c r="G10" s="21">
        <v>994463670</v>
      </c>
      <c r="H10" s="5">
        <f>IF(AND(ISBLANK(IMMeter[[#This Row],[Beg Ser]]),ISBLANK(IMMeter[[#This Row],[End Ser]])),"",IMMeter[[#This Row],[End Ser]]-IMMeter[[#This Row],[Beg Ser]]+1)</f>
        <v>4</v>
      </c>
      <c r="I10" s="7">
        <v>44090</v>
      </c>
      <c r="J10" s="7"/>
      <c r="K10" s="22">
        <v>80231039</v>
      </c>
      <c r="L10" s="7">
        <v>45119</v>
      </c>
      <c r="M10" s="11">
        <v>355</v>
      </c>
      <c r="N10" s="6" t="s">
        <v>70</v>
      </c>
      <c r="O10" s="5">
        <v>71058289</v>
      </c>
      <c r="P10" s="5" t="s">
        <v>65</v>
      </c>
      <c r="Q10" s="5">
        <f>IF(ISBLANK(IMMeter[[#This Row],[PO Number]]),"",IF(ISBLANK(IMMeter[[#This Row],[Recv Date]]),0,1))</f>
        <v>1</v>
      </c>
      <c r="R10" s="54"/>
    </row>
    <row r="11" spans="1:21" ht="15.6" x14ac:dyDescent="0.3">
      <c r="A11" s="5">
        <f>IF(ISBLANK(IMMeter[[#This Row],[OpCo2]]),"",COUNTA(IMMeter[[#This Row],[OpCo2]])-(COUNTA(IMMeter[[#This Row],[OpCo2]])-ROW(IMMeter[[#This Row],[OpCo2]])+1))</f>
        <v>10</v>
      </c>
      <c r="B11" s="5" t="s">
        <v>18</v>
      </c>
      <c r="C11" s="6" t="s">
        <v>2</v>
      </c>
      <c r="D11" s="6" t="s">
        <v>1</v>
      </c>
      <c r="E11" s="5" t="s">
        <v>62</v>
      </c>
      <c r="F11" s="23">
        <v>911298779</v>
      </c>
      <c r="G11" s="24">
        <v>911301658</v>
      </c>
      <c r="H11" s="5">
        <f>IF(AND(ISBLANK(IMMeter[[#This Row],[Beg Ser]]),ISBLANK(IMMeter[[#This Row],[End Ser]])),"",IMMeter[[#This Row],[End Ser]]-IMMeter[[#This Row],[Beg Ser]]+1)</f>
        <v>2880</v>
      </c>
      <c r="I11" s="7">
        <v>44483</v>
      </c>
      <c r="J11" s="7"/>
      <c r="K11" s="22">
        <v>80420774</v>
      </c>
      <c r="L11" s="7">
        <v>45128</v>
      </c>
      <c r="M11" s="11">
        <v>110.4</v>
      </c>
      <c r="N11" s="6" t="s">
        <v>63</v>
      </c>
      <c r="O11" s="5">
        <v>71055999</v>
      </c>
      <c r="P11" s="5" t="s">
        <v>62</v>
      </c>
      <c r="Q11" s="5">
        <f>IF(ISBLANK(IMMeter[[#This Row],[PO Number]]),"",IF(ISBLANK(IMMeter[[#This Row],[Recv Date]]),0,1))</f>
        <v>1</v>
      </c>
      <c r="R11" s="54"/>
    </row>
    <row r="12" spans="1:21" ht="15.6" x14ac:dyDescent="0.3">
      <c r="A12" s="5">
        <f>IF(ISBLANK(IMMeter[[#This Row],[OpCo2]]),"",COUNTA(IMMeter[[#This Row],[OpCo2]])-(COUNTA(IMMeter[[#This Row],[OpCo2]])-ROW(IMMeter[[#This Row],[OpCo2]])+1))</f>
        <v>11</v>
      </c>
      <c r="B12" s="5" t="s">
        <v>18</v>
      </c>
      <c r="C12" s="6" t="s">
        <v>2</v>
      </c>
      <c r="D12" s="6" t="s">
        <v>1</v>
      </c>
      <c r="E12" s="5" t="s">
        <v>62</v>
      </c>
      <c r="F12" s="23">
        <v>911283179</v>
      </c>
      <c r="G12" s="24">
        <v>911290978</v>
      </c>
      <c r="H12" s="5">
        <f>IF(AND(ISBLANK(IMMeter[[#This Row],[Beg Ser]]),ISBLANK(IMMeter[[#This Row],[End Ser]])),"",IMMeter[[#This Row],[End Ser]]-IMMeter[[#This Row],[Beg Ser]]+1)</f>
        <v>7800</v>
      </c>
      <c r="I12" s="7">
        <v>44463</v>
      </c>
      <c r="J12" s="7"/>
      <c r="K12" s="22">
        <v>80410146</v>
      </c>
      <c r="L12" s="7">
        <v>45138</v>
      </c>
      <c r="M12" s="11">
        <v>110.4</v>
      </c>
      <c r="N12" s="6" t="s">
        <v>63</v>
      </c>
      <c r="O12" s="5">
        <v>71055999</v>
      </c>
      <c r="P12" s="5" t="s">
        <v>62</v>
      </c>
      <c r="Q12" s="5">
        <f>IF(ISBLANK(IMMeter[[#This Row],[PO Number]]),"",IF(ISBLANK(IMMeter[[#This Row],[Recv Date]]),0,1))</f>
        <v>1</v>
      </c>
      <c r="R12" s="54"/>
    </row>
    <row r="13" spans="1:21" ht="15.6" x14ac:dyDescent="0.3">
      <c r="A13" s="5">
        <f>IF(ISBLANK(IMMeter[[#This Row],[OpCo2]]),"",COUNTA(IMMeter[[#This Row],[OpCo2]])-(COUNTA(IMMeter[[#This Row],[OpCo2]])-ROW(IMMeter[[#This Row],[OpCo2]])+1))</f>
        <v>12</v>
      </c>
      <c r="B13" s="5" t="s">
        <v>18</v>
      </c>
      <c r="C13" s="6" t="s">
        <v>2</v>
      </c>
      <c r="D13" s="6" t="s">
        <v>1</v>
      </c>
      <c r="E13" s="5" t="s">
        <v>0</v>
      </c>
      <c r="F13" s="23">
        <v>611318207</v>
      </c>
      <c r="G13" s="24">
        <v>611322142</v>
      </c>
      <c r="H13" s="5">
        <f>IF(AND(ISBLANK(IMMeter[[#This Row],[Beg Ser]]),ISBLANK(IMMeter[[#This Row],[End Ser]])),"",IMMeter[[#This Row],[End Ser]]-IMMeter[[#This Row],[Beg Ser]]+1)</f>
        <v>3936</v>
      </c>
      <c r="I13" s="7">
        <v>44463</v>
      </c>
      <c r="J13" s="7"/>
      <c r="K13" s="22">
        <v>80410125</v>
      </c>
      <c r="L13" s="7">
        <v>45139</v>
      </c>
      <c r="M13" s="11">
        <v>203.89</v>
      </c>
      <c r="N13" s="6" t="s">
        <v>76</v>
      </c>
      <c r="O13" s="5">
        <v>99114989</v>
      </c>
      <c r="P13" s="5" t="s">
        <v>0</v>
      </c>
      <c r="Q13" s="5">
        <f>IF(ISBLANK(IMMeter[[#This Row],[PO Number]]),"",IF(ISBLANK(IMMeter[[#This Row],[Recv Date]]),0,1))</f>
        <v>1</v>
      </c>
      <c r="R13" s="54"/>
    </row>
    <row r="14" spans="1:21" ht="15.6" x14ac:dyDescent="0.3">
      <c r="A14" s="5">
        <f>IF(ISBLANK(IMMeter[[#This Row],[OpCo2]]),"",COUNTA(IMMeter[[#This Row],[OpCo2]])-(COUNTA(IMMeter[[#This Row],[OpCo2]])-ROW(IMMeter[[#This Row],[OpCo2]])+1))</f>
        <v>13</v>
      </c>
      <c r="B14" s="5" t="s">
        <v>18</v>
      </c>
      <c r="C14" s="6" t="s">
        <v>2</v>
      </c>
      <c r="D14" s="6" t="s">
        <v>1</v>
      </c>
      <c r="E14" s="5" t="s">
        <v>62</v>
      </c>
      <c r="F14" s="18">
        <v>911290979</v>
      </c>
      <c r="G14" s="19">
        <v>911298778</v>
      </c>
      <c r="H14" s="5">
        <f>IF(AND(ISBLANK(IMMeter[[#This Row],[Beg Ser]]),ISBLANK(IMMeter[[#This Row],[End Ser]])),"",IMMeter[[#This Row],[End Ser]]-IMMeter[[#This Row],[Beg Ser]]+1)</f>
        <v>7800</v>
      </c>
      <c r="I14" s="7">
        <v>44463</v>
      </c>
      <c r="J14" s="7"/>
      <c r="K14" s="22">
        <v>80410148</v>
      </c>
      <c r="L14" s="7">
        <v>45146</v>
      </c>
      <c r="M14" s="11">
        <v>110.4</v>
      </c>
      <c r="N14" s="6" t="s">
        <v>63</v>
      </c>
      <c r="O14" s="5">
        <v>71055999</v>
      </c>
      <c r="P14" s="5" t="s">
        <v>62</v>
      </c>
      <c r="Q14" s="5">
        <f>IF(ISBLANK(IMMeter[[#This Row],[PO Number]]),"",IF(ISBLANK(IMMeter[[#This Row],[Recv Date]]),0,1))</f>
        <v>1</v>
      </c>
      <c r="R14" s="54"/>
    </row>
    <row r="15" spans="1:21" ht="15.6" x14ac:dyDescent="0.3">
      <c r="A15" s="5">
        <f>IF(ISBLANK(IMMeter[[#This Row],[OpCo2]]),"",COUNTA(IMMeter[[#This Row],[OpCo2]])-(COUNTA(IMMeter[[#This Row],[OpCo2]])-ROW(IMMeter[[#This Row],[OpCo2]])+1))</f>
        <v>14</v>
      </c>
      <c r="B15" s="5" t="s">
        <v>18</v>
      </c>
      <c r="C15" s="6" t="s">
        <v>80</v>
      </c>
      <c r="D15" s="6" t="s">
        <v>1</v>
      </c>
      <c r="E15" s="5" t="s">
        <v>62</v>
      </c>
      <c r="F15" s="18">
        <v>911503507</v>
      </c>
      <c r="G15" s="19">
        <v>911511306</v>
      </c>
      <c r="H15" s="5">
        <f>IF(AND(ISBLANK(IMMeter[[#This Row],[Beg Ser]]),ISBLANK(IMMeter[[#This Row],[End Ser]])),"",IMMeter[[#This Row],[End Ser]]-IMMeter[[#This Row],[Beg Ser]]+1)</f>
        <v>7800</v>
      </c>
      <c r="I15" s="7">
        <v>44463</v>
      </c>
      <c r="J15" s="7"/>
      <c r="K15" s="22">
        <v>80410145</v>
      </c>
      <c r="L15" s="7">
        <v>45174</v>
      </c>
      <c r="M15" s="11">
        <v>110.4</v>
      </c>
      <c r="N15" s="6" t="s">
        <v>63</v>
      </c>
      <c r="O15" s="5">
        <v>71055999</v>
      </c>
      <c r="P15" s="5" t="s">
        <v>62</v>
      </c>
      <c r="Q15" s="5">
        <f>IF(ISBLANK(IMMeter[[#This Row],[PO Number]]),"",IF(ISBLANK(IMMeter[[#This Row],[Recv Date]]),0,1))</f>
        <v>1</v>
      </c>
      <c r="R15" s="54"/>
    </row>
    <row r="16" spans="1:21" ht="15.6" x14ac:dyDescent="0.3">
      <c r="A16" s="5">
        <f>IF(ISBLANK(IMMeter[[#This Row],[OpCo2]]),"",COUNTA(IMMeter[[#This Row],[OpCo2]])-(COUNTA(IMMeter[[#This Row],[OpCo2]])-ROW(IMMeter[[#This Row],[OpCo2]])+1))</f>
        <v>15</v>
      </c>
      <c r="B16" s="5" t="s">
        <v>18</v>
      </c>
      <c r="C16" s="6" t="s">
        <v>2</v>
      </c>
      <c r="D16" s="6" t="s">
        <v>1</v>
      </c>
      <c r="E16" s="5" t="s">
        <v>0</v>
      </c>
      <c r="F16" s="18">
        <v>611322143</v>
      </c>
      <c r="G16" s="19">
        <v>611322910</v>
      </c>
      <c r="H16" s="5">
        <f>IF(AND(ISBLANK(IMMeter[[#This Row],[Beg Ser]]),ISBLANK(IMMeter[[#This Row],[End Ser]])),"",IMMeter[[#This Row],[End Ser]]-IMMeter[[#This Row],[Beg Ser]]+1)</f>
        <v>768</v>
      </c>
      <c r="I16" s="7">
        <v>44574</v>
      </c>
      <c r="J16" s="7"/>
      <c r="K16" s="22">
        <v>80463244</v>
      </c>
      <c r="L16" s="7">
        <v>45174</v>
      </c>
      <c r="M16" s="11">
        <v>203.89</v>
      </c>
      <c r="N16" s="6" t="s">
        <v>76</v>
      </c>
      <c r="O16" s="5">
        <v>99114989</v>
      </c>
      <c r="P16" s="5" t="s">
        <v>0</v>
      </c>
      <c r="Q16" s="5">
        <f>IF(ISBLANK(IMMeter[[#This Row],[PO Number]]),"",IF(ISBLANK(IMMeter[[#This Row],[Recv Date]]),0,1))</f>
        <v>1</v>
      </c>
      <c r="R16" s="54"/>
    </row>
    <row r="17" spans="1:18" ht="15.6" x14ac:dyDescent="0.3">
      <c r="A17" s="5">
        <f>IF(ISBLANK(IMMeter[[#This Row],[OpCo2]]),"",COUNTA(IMMeter[[#This Row],[OpCo2]])-(COUNTA(IMMeter[[#This Row],[OpCo2]])-ROW(IMMeter[[#This Row],[OpCo2]])+1))</f>
        <v>16</v>
      </c>
      <c r="B17" s="5" t="s">
        <v>18</v>
      </c>
      <c r="C17" s="6" t="s">
        <v>2</v>
      </c>
      <c r="D17" s="6" t="s">
        <v>1</v>
      </c>
      <c r="E17" s="5" t="s">
        <v>85</v>
      </c>
      <c r="F17" s="18">
        <v>611322911</v>
      </c>
      <c r="G17" s="19">
        <v>611323678</v>
      </c>
      <c r="H17" s="5">
        <f>IF(AND(ISBLANK(IMMeter[[#This Row],[Beg Ser]]),ISBLANK(IMMeter[[#This Row],[End Ser]])),"",IMMeter[[#This Row],[End Ser]]-IMMeter[[#This Row],[Beg Ser]]+1)</f>
        <v>768</v>
      </c>
      <c r="I17" s="7">
        <v>44574</v>
      </c>
      <c r="J17" s="7"/>
      <c r="K17" s="22">
        <v>80463244</v>
      </c>
      <c r="L17" s="7">
        <v>45174</v>
      </c>
      <c r="M17" s="11">
        <v>214.39</v>
      </c>
      <c r="N17" s="6" t="s">
        <v>86</v>
      </c>
      <c r="O17" s="5">
        <v>99114988</v>
      </c>
      <c r="P17" s="5" t="s">
        <v>85</v>
      </c>
      <c r="Q17" s="5">
        <f>IF(ISBLANK(IMMeter[[#This Row],[PO Number]]),"",IF(ISBLANK(IMMeter[[#This Row],[Recv Date]]),0,1))</f>
        <v>1</v>
      </c>
      <c r="R17" s="54"/>
    </row>
    <row r="18" spans="1:18" ht="15.6" x14ac:dyDescent="0.3">
      <c r="A18" s="5">
        <f>IF(ISBLANK(IMMeter[[#This Row],[OpCo2]]),"",COUNTA(IMMeter[[#This Row],[OpCo2]])-(COUNTA(IMMeter[[#This Row],[OpCo2]])-ROW(IMMeter[[#This Row],[OpCo2]])+1))</f>
        <v>17</v>
      </c>
      <c r="B18" s="5" t="s">
        <v>18</v>
      </c>
      <c r="C18" s="6" t="s">
        <v>2</v>
      </c>
      <c r="D18" s="6" t="s">
        <v>1</v>
      </c>
      <c r="E18" s="5" t="s">
        <v>89</v>
      </c>
      <c r="F18" s="18">
        <v>910831269</v>
      </c>
      <c r="G18" s="19">
        <v>910831508</v>
      </c>
      <c r="H18" s="5">
        <f>IF(AND(ISBLANK(IMMeter[[#This Row],[Beg Ser]]),ISBLANK(IMMeter[[#This Row],[End Ser]])),"",IMMeter[[#This Row],[End Ser]]-IMMeter[[#This Row],[Beg Ser]]+1)</f>
        <v>240</v>
      </c>
      <c r="I18" s="7">
        <v>44663</v>
      </c>
      <c r="J18" s="7"/>
      <c r="K18" s="22">
        <v>80610031</v>
      </c>
      <c r="L18" s="7">
        <v>45250</v>
      </c>
      <c r="M18" s="11">
        <v>392.11</v>
      </c>
      <c r="N18" s="6" t="s">
        <v>109</v>
      </c>
      <c r="O18" s="5">
        <v>71058288</v>
      </c>
      <c r="P18" s="5" t="s">
        <v>89</v>
      </c>
      <c r="Q18" s="5">
        <f>IF(ISBLANK(IMMeter[[#This Row],[PO Number]]),"",IF(ISBLANK(IMMeter[[#This Row],[Recv Date]]),0,1))</f>
        <v>1</v>
      </c>
      <c r="R18" s="54"/>
    </row>
    <row r="19" spans="1:18" ht="15.6" x14ac:dyDescent="0.3">
      <c r="A19" s="5">
        <f>IF(ISBLANK(IMMeter[[#This Row],[OpCo2]]),"",COUNTA(IMMeter[[#This Row],[OpCo2]])-(COUNTA(IMMeter[[#This Row],[OpCo2]])-ROW(IMMeter[[#This Row],[OpCo2]])+1))</f>
        <v>18</v>
      </c>
      <c r="B19" s="5" t="s">
        <v>18</v>
      </c>
      <c r="C19" s="6" t="s">
        <v>2</v>
      </c>
      <c r="D19" s="6" t="s">
        <v>1</v>
      </c>
      <c r="E19" s="5" t="s">
        <v>65</v>
      </c>
      <c r="F19" s="18">
        <v>911331502</v>
      </c>
      <c r="G19" s="19">
        <v>911331741</v>
      </c>
      <c r="H19" s="5">
        <f>IF(AND(ISBLANK(IMMeter[[#This Row],[Beg Ser]]),ISBLANK(IMMeter[[#This Row],[End Ser]])),"",IMMeter[[#This Row],[End Ser]]-IMMeter[[#This Row],[Beg Ser]]+1)</f>
        <v>240</v>
      </c>
      <c r="I19" s="7">
        <v>44663</v>
      </c>
      <c r="J19" s="7"/>
      <c r="K19" s="22">
        <v>80610031</v>
      </c>
      <c r="L19" s="7">
        <v>45250</v>
      </c>
      <c r="M19" s="11">
        <v>392.11</v>
      </c>
      <c r="N19" s="6" t="s">
        <v>70</v>
      </c>
      <c r="O19" s="5">
        <v>71058289</v>
      </c>
      <c r="P19" s="5" t="s">
        <v>65</v>
      </c>
      <c r="Q19" s="5">
        <f>IF(ISBLANK(IMMeter[[#This Row],[PO Number]]),"",IF(ISBLANK(IMMeter[[#This Row],[Recv Date]]),0,1))</f>
        <v>1</v>
      </c>
      <c r="R19" s="54"/>
    </row>
    <row r="20" spans="1:18" ht="15.6" x14ac:dyDescent="0.3">
      <c r="A20" s="5">
        <f>IF(ISBLANK(IMMeter[[#This Row],[OpCo2]]),"",COUNTA(IMMeter[[#This Row],[OpCo2]])-(COUNTA(IMMeter[[#This Row],[OpCo2]])-ROW(IMMeter[[#This Row],[OpCo2]])+1))</f>
        <v>19</v>
      </c>
      <c r="B20" s="5" t="s">
        <v>18</v>
      </c>
      <c r="C20" s="6" t="s">
        <v>2</v>
      </c>
      <c r="D20" s="6" t="s">
        <v>1</v>
      </c>
      <c r="E20" s="5" t="s">
        <v>65</v>
      </c>
      <c r="F20" s="18">
        <v>910306354</v>
      </c>
      <c r="G20" s="19">
        <v>910306473</v>
      </c>
      <c r="H20" s="5">
        <f>IF(AND(ISBLANK(IMMeter[[#This Row],[Beg Ser]]),ISBLANK(IMMeter[[#This Row],[End Ser]])),"",IMMeter[[#This Row],[End Ser]]-IMMeter[[#This Row],[Beg Ser]]+1)</f>
        <v>120</v>
      </c>
      <c r="I20" s="7">
        <v>44467</v>
      </c>
      <c r="J20" s="7"/>
      <c r="K20" s="22">
        <v>80411243</v>
      </c>
      <c r="L20" s="7">
        <v>45272</v>
      </c>
      <c r="M20" s="11">
        <v>392.11</v>
      </c>
      <c r="N20" s="6" t="s">
        <v>70</v>
      </c>
      <c r="O20" s="5">
        <v>71058289</v>
      </c>
      <c r="P20" s="5" t="s">
        <v>65</v>
      </c>
      <c r="Q20" s="5">
        <f>IF(ISBLANK(IMMeter[[#This Row],[PO Number]]),"",IF(ISBLANK(IMMeter[[#This Row],[Recv Date]]),0,1))</f>
        <v>1</v>
      </c>
      <c r="R20" s="54"/>
    </row>
    <row r="21" spans="1:18" ht="15.6" x14ac:dyDescent="0.3">
      <c r="A21" s="5">
        <f>IF(ISBLANK(IMMeter[[#This Row],[OpCo2]]),"",COUNTA(IMMeter[[#This Row],[OpCo2]])-(COUNTA(IMMeter[[#This Row],[OpCo2]])-ROW(IMMeter[[#This Row],[OpCo2]])+1))</f>
        <v>20</v>
      </c>
      <c r="B21" s="35" t="s">
        <v>18</v>
      </c>
      <c r="C21" s="34" t="s">
        <v>2</v>
      </c>
      <c r="D21" s="34" t="s">
        <v>1</v>
      </c>
      <c r="E21" s="35" t="s">
        <v>62</v>
      </c>
      <c r="F21" s="42">
        <v>913639305</v>
      </c>
      <c r="G21" s="43">
        <v>913646264</v>
      </c>
      <c r="H21" s="35">
        <f>IF(AND(ISBLANK(IMMeter[[#This Row],[Beg Ser]]),ISBLANK(IMMeter[[#This Row],[End Ser]])),"",IMMeter[[#This Row],[End Ser]]-IMMeter[[#This Row],[Beg Ser]]+1)</f>
        <v>6960</v>
      </c>
      <c r="I21" s="38">
        <v>44722</v>
      </c>
      <c r="J21" s="38"/>
      <c r="K21" s="57">
        <v>80848194</v>
      </c>
      <c r="L21" s="38">
        <v>45315</v>
      </c>
      <c r="M21" s="40">
        <v>113.71</v>
      </c>
      <c r="N21" s="34" t="s">
        <v>63</v>
      </c>
      <c r="O21" s="35">
        <v>71055999</v>
      </c>
      <c r="P21" s="35" t="s">
        <v>62</v>
      </c>
      <c r="Q21" s="5">
        <f>IF(ISBLANK(IMMeter[[#This Row],[PO Number]]),"",IF(ISBLANK(IMMeter[[#This Row],[Recv Date]]),0,1))</f>
        <v>1</v>
      </c>
      <c r="R21" s="60" t="s">
        <v>118</v>
      </c>
    </row>
    <row r="22" spans="1:18" ht="15.6" x14ac:dyDescent="0.3">
      <c r="A22" s="5">
        <f>IF(ISBLANK(IMMeter[[#This Row],[OpCo2]]),"",COUNTA(IMMeter[[#This Row],[OpCo2]])-(COUNTA(IMMeter[[#This Row],[OpCo2]])-ROW(IMMeter[[#This Row],[OpCo2]])+1))</f>
        <v>21</v>
      </c>
      <c r="B22" s="35" t="s">
        <v>18</v>
      </c>
      <c r="C22" s="34" t="s">
        <v>2</v>
      </c>
      <c r="D22" s="34" t="s">
        <v>1</v>
      </c>
      <c r="E22" s="35" t="s">
        <v>62</v>
      </c>
      <c r="F22" s="42">
        <v>913467378</v>
      </c>
      <c r="G22" s="43">
        <v>913475177</v>
      </c>
      <c r="H22" s="35">
        <f>IF(AND(ISBLANK(IMMeter[[#This Row],[Beg Ser]]),ISBLANK(IMMeter[[#This Row],[End Ser]])),"",IMMeter[[#This Row],[End Ser]]-IMMeter[[#This Row],[Beg Ser]]+1)</f>
        <v>7800</v>
      </c>
      <c r="I22" s="38">
        <v>44463</v>
      </c>
      <c r="J22" s="38"/>
      <c r="K22" s="57">
        <v>80410144</v>
      </c>
      <c r="L22" s="38">
        <v>45315</v>
      </c>
      <c r="M22" s="40">
        <v>113.71</v>
      </c>
      <c r="N22" s="34" t="s">
        <v>63</v>
      </c>
      <c r="O22" s="35">
        <v>71055999</v>
      </c>
      <c r="P22" s="35" t="s">
        <v>62</v>
      </c>
      <c r="Q22" s="5">
        <f>IF(ISBLANK(IMMeter[[#This Row],[PO Number]]),"",IF(ISBLANK(IMMeter[[#This Row],[Recv Date]]),0,1))</f>
        <v>1</v>
      </c>
      <c r="R22" s="60" t="s">
        <v>118</v>
      </c>
    </row>
    <row r="23" spans="1:18" ht="15.6" x14ac:dyDescent="0.3">
      <c r="A23" s="5">
        <f>IF(ISBLANK(IMMeter[[#This Row],[OpCo2]]),"",COUNTA(IMMeter[[#This Row],[OpCo2]])-(COUNTA(IMMeter[[#This Row],[OpCo2]])-ROW(IMMeter[[#This Row],[OpCo2]])+1))</f>
        <v>22</v>
      </c>
      <c r="B23" s="5" t="s">
        <v>18</v>
      </c>
      <c r="C23" s="6" t="s">
        <v>2</v>
      </c>
      <c r="D23" s="6" t="s">
        <v>1</v>
      </c>
      <c r="E23" s="5" t="s">
        <v>126</v>
      </c>
      <c r="F23" s="18">
        <v>913519688</v>
      </c>
      <c r="G23" s="19">
        <v>913520167</v>
      </c>
      <c r="H23" s="5">
        <f>IF(AND(ISBLANK(IMMeter[[#This Row],[Beg Ser]]),ISBLANK(IMMeter[[#This Row],[End Ser]])),"",IMMeter[[#This Row],[End Ser]]-IMMeter[[#This Row],[Beg Ser]]+1)</f>
        <v>480</v>
      </c>
      <c r="I23" s="7">
        <v>44677</v>
      </c>
      <c r="J23" s="7"/>
      <c r="K23" s="22">
        <v>80645403</v>
      </c>
      <c r="L23" s="7">
        <v>45320</v>
      </c>
      <c r="M23" s="11">
        <v>131.24</v>
      </c>
      <c r="N23" s="6" t="s">
        <v>127</v>
      </c>
      <c r="O23" s="5">
        <v>71055998</v>
      </c>
      <c r="P23" s="5" t="s">
        <v>126</v>
      </c>
      <c r="Q23" s="5">
        <f>IF(ISBLANK(IMMeter[[#This Row],[PO Number]]),"",IF(ISBLANK(IMMeter[[#This Row],[Recv Date]]),0,1))</f>
        <v>1</v>
      </c>
      <c r="R23" s="54" t="s">
        <v>120</v>
      </c>
    </row>
    <row r="24" spans="1:18" ht="15.6" x14ac:dyDescent="0.3">
      <c r="A24" s="5">
        <f>IF(ISBLANK(IMMeter[[#This Row],[OpCo2]]),"",COUNTA(IMMeter[[#This Row],[OpCo2]])-(COUNTA(IMMeter[[#This Row],[OpCo2]])-ROW(IMMeter[[#This Row],[OpCo2]])+1))</f>
        <v>23</v>
      </c>
      <c r="B24" s="35" t="s">
        <v>18</v>
      </c>
      <c r="C24" s="34" t="s">
        <v>2</v>
      </c>
      <c r="D24" s="34" t="s">
        <v>1</v>
      </c>
      <c r="E24" s="35" t="s">
        <v>128</v>
      </c>
      <c r="F24" s="42">
        <v>613521902</v>
      </c>
      <c r="G24" s="43">
        <v>613522285</v>
      </c>
      <c r="H24" s="35">
        <f>IF(AND(ISBLANK(IMMeter[[#This Row],[Beg Ser]]),ISBLANK(IMMeter[[#This Row],[End Ser]])),"",IMMeter[[#This Row],[End Ser]]-IMMeter[[#This Row],[Beg Ser]]+1)</f>
        <v>384</v>
      </c>
      <c r="I24" s="38">
        <v>44634</v>
      </c>
      <c r="J24" s="38"/>
      <c r="K24" s="57">
        <v>80564675</v>
      </c>
      <c r="L24" s="38">
        <v>45320</v>
      </c>
      <c r="M24" s="40">
        <v>225.98</v>
      </c>
      <c r="N24" s="34" t="s">
        <v>129</v>
      </c>
      <c r="O24" s="35">
        <v>99114944</v>
      </c>
      <c r="P24" s="35" t="s">
        <v>128</v>
      </c>
      <c r="Q24" s="5">
        <f>IF(ISBLANK(IMMeter[[#This Row],[PO Number]]),"",IF(ISBLANK(IMMeter[[#This Row],[Recv Date]]),0,1))</f>
        <v>1</v>
      </c>
      <c r="R24" s="60" t="s">
        <v>118</v>
      </c>
    </row>
    <row r="25" spans="1:18" ht="15.6" x14ac:dyDescent="0.3">
      <c r="A25" s="5">
        <f>IF(ISBLANK(IMMeter[[#This Row],[OpCo2]]),"",COUNTA(IMMeter[[#This Row],[OpCo2]])-(COUNTA(IMMeter[[#This Row],[OpCo2]])-ROW(IMMeter[[#This Row],[OpCo2]])+1))</f>
        <v>24</v>
      </c>
      <c r="B25" s="35" t="s">
        <v>18</v>
      </c>
      <c r="C25" s="34" t="s">
        <v>2</v>
      </c>
      <c r="D25" s="34" t="s">
        <v>1</v>
      </c>
      <c r="E25" s="35" t="s">
        <v>85</v>
      </c>
      <c r="F25" s="42">
        <v>613521518</v>
      </c>
      <c r="G25" s="43">
        <v>613521901</v>
      </c>
      <c r="H25" s="35">
        <f>IF(AND(ISBLANK(IMMeter[[#This Row],[Beg Ser]]),ISBLANK(IMMeter[[#This Row],[End Ser]])),"",IMMeter[[#This Row],[End Ser]]-IMMeter[[#This Row],[Beg Ser]]+1)</f>
        <v>384</v>
      </c>
      <c r="I25" s="38">
        <v>44634</v>
      </c>
      <c r="J25" s="38"/>
      <c r="K25" s="57">
        <v>80564675</v>
      </c>
      <c r="L25" s="38">
        <v>45320</v>
      </c>
      <c r="M25" s="40">
        <v>225.98</v>
      </c>
      <c r="N25" s="34" t="s">
        <v>86</v>
      </c>
      <c r="O25" s="35">
        <v>99114988</v>
      </c>
      <c r="P25" s="35" t="s">
        <v>85</v>
      </c>
      <c r="Q25" s="5">
        <f>IF(ISBLANK(IMMeter[[#This Row],[PO Number]]),"",IF(ISBLANK(IMMeter[[#This Row],[Recv Date]]),0,1))</f>
        <v>1</v>
      </c>
      <c r="R25" s="60" t="s">
        <v>118</v>
      </c>
    </row>
    <row r="26" spans="1:18" ht="15.6" x14ac:dyDescent="0.3">
      <c r="A26" s="5">
        <f>IF(ISBLANK(IMMeter[[#This Row],[OpCo2]]),"",COUNTA(IMMeter[[#This Row],[OpCo2]])-(COUNTA(IMMeter[[#This Row],[OpCo2]])-ROW(IMMeter[[#This Row],[OpCo2]])+1))</f>
        <v>25</v>
      </c>
      <c r="B26" s="5" t="s">
        <v>18</v>
      </c>
      <c r="C26" s="34" t="s">
        <v>2</v>
      </c>
      <c r="D26" s="34" t="s">
        <v>1</v>
      </c>
      <c r="E26" s="35" t="s">
        <v>126</v>
      </c>
      <c r="F26" s="42">
        <v>913777221</v>
      </c>
      <c r="G26" s="43">
        <v>913777340</v>
      </c>
      <c r="H26" s="35">
        <f>IF(AND(ISBLANK(IMMeter[[#This Row],[Beg Ser]]),ISBLANK(IMMeter[[#This Row],[End Ser]])),"",IMMeter[[#This Row],[End Ser]]-IMMeter[[#This Row],[Beg Ser]]+1)</f>
        <v>120</v>
      </c>
      <c r="I26" s="38">
        <v>44722</v>
      </c>
      <c r="J26" s="38"/>
      <c r="K26" s="57">
        <v>80848192</v>
      </c>
      <c r="L26" s="38">
        <v>45345</v>
      </c>
      <c r="M26" s="40">
        <v>131.24</v>
      </c>
      <c r="N26" s="34" t="s">
        <v>127</v>
      </c>
      <c r="O26" s="35">
        <v>71055998</v>
      </c>
      <c r="P26" s="35" t="s">
        <v>126</v>
      </c>
      <c r="Q26" s="5">
        <f>IF(ISBLANK(IMMeter[[#This Row],[PO Number]]),"",IF(ISBLANK(IMMeter[[#This Row],[Recv Date]]),0,1))</f>
        <v>1</v>
      </c>
      <c r="R26" s="60" t="s">
        <v>118</v>
      </c>
    </row>
    <row r="27" spans="1:18" ht="15.6" x14ac:dyDescent="0.3">
      <c r="A27" s="5">
        <f>IF(ISBLANK(IMMeter[[#This Row],[OpCo2]]),"",COUNTA(IMMeter[[#This Row],[OpCo2]])-(COUNTA(IMMeter[[#This Row],[OpCo2]])-ROW(IMMeter[[#This Row],[OpCo2]])+1))</f>
        <v>26</v>
      </c>
      <c r="B27" s="5" t="s">
        <v>18</v>
      </c>
      <c r="C27" s="34" t="s">
        <v>2</v>
      </c>
      <c r="D27" s="34" t="s">
        <v>1</v>
      </c>
      <c r="E27" s="35" t="s">
        <v>71</v>
      </c>
      <c r="F27" s="36">
        <v>913739776</v>
      </c>
      <c r="G27" s="37">
        <v>913742175</v>
      </c>
      <c r="H27" s="35">
        <f>IF(AND(ISBLANK(IMMeter[[#This Row],[Beg Ser]]),ISBLANK(IMMeter[[#This Row],[End Ser]])),"",IMMeter[[#This Row],[End Ser]]-IMMeter[[#This Row],[Beg Ser]]+1)</f>
        <v>2400</v>
      </c>
      <c r="I27" s="38">
        <v>44463</v>
      </c>
      <c r="J27" s="38"/>
      <c r="K27" s="57">
        <v>80410123</v>
      </c>
      <c r="L27" s="38">
        <v>45345</v>
      </c>
      <c r="M27" s="40">
        <v>160.69</v>
      </c>
      <c r="N27" s="34" t="s">
        <v>142</v>
      </c>
      <c r="O27" s="35">
        <v>71056000</v>
      </c>
      <c r="P27" s="35" t="s">
        <v>71</v>
      </c>
      <c r="Q27" s="5">
        <f>IF(ISBLANK(IMMeter[[#This Row],[PO Number]]),"",IF(ISBLANK(IMMeter[[#This Row],[Recv Date]]),0,1))</f>
        <v>1</v>
      </c>
      <c r="R27" s="60" t="s">
        <v>118</v>
      </c>
    </row>
    <row r="28" spans="1:18" ht="15.6" x14ac:dyDescent="0.3">
      <c r="A28" s="5">
        <f>IF(ISBLANK(IMMeter[[#This Row],[OpCo2]]),"",COUNTA(IMMeter[[#This Row],[OpCo2]])-(COUNTA(IMMeter[[#This Row],[OpCo2]])-ROW(IMMeter[[#This Row],[OpCo2]])+1))</f>
        <v>27</v>
      </c>
      <c r="B28" s="5" t="s">
        <v>18</v>
      </c>
      <c r="C28" s="34" t="s">
        <v>2</v>
      </c>
      <c r="D28" s="34" t="s">
        <v>1</v>
      </c>
      <c r="E28" s="35" t="s">
        <v>62</v>
      </c>
      <c r="F28" s="36">
        <v>913757541</v>
      </c>
      <c r="G28" s="37">
        <v>913764500</v>
      </c>
      <c r="H28" s="35">
        <f>IF(AND(ISBLANK(IMMeter[[#This Row],[Beg Ser]]),ISBLANK(IMMeter[[#This Row],[End Ser]])),"",IMMeter[[#This Row],[End Ser]]-IMMeter[[#This Row],[Beg Ser]]+1)</f>
        <v>6960</v>
      </c>
      <c r="I28" s="38">
        <v>44722</v>
      </c>
      <c r="J28" s="38"/>
      <c r="K28" s="57">
        <v>80848178</v>
      </c>
      <c r="L28" s="38">
        <v>45345</v>
      </c>
      <c r="M28" s="40">
        <v>113.71</v>
      </c>
      <c r="N28" s="34" t="s">
        <v>63</v>
      </c>
      <c r="O28" s="35">
        <v>71055999</v>
      </c>
      <c r="P28" s="35" t="s">
        <v>62</v>
      </c>
      <c r="Q28" s="5">
        <f>IF(ISBLANK(IMMeter[[#This Row],[PO Number]]),"",IF(ISBLANK(IMMeter[[#This Row],[Recv Date]]),0,1))</f>
        <v>1</v>
      </c>
      <c r="R28" s="60" t="s">
        <v>118</v>
      </c>
    </row>
    <row r="29" spans="1:18" ht="15.6" x14ac:dyDescent="0.3">
      <c r="A29" s="5">
        <f>IF(ISBLANK(IMMeter[[#This Row],[OpCo2]]),"",COUNTA(IMMeter[[#This Row],[OpCo2]])-(COUNTA(IMMeter[[#This Row],[OpCo2]])-ROW(IMMeter[[#This Row],[OpCo2]])+1))</f>
        <v>28</v>
      </c>
      <c r="B29" s="5" t="s">
        <v>18</v>
      </c>
      <c r="C29" s="34" t="s">
        <v>2</v>
      </c>
      <c r="D29" s="34" t="s">
        <v>1</v>
      </c>
      <c r="E29" s="35" t="s">
        <v>62</v>
      </c>
      <c r="F29" s="36">
        <v>913767261</v>
      </c>
      <c r="G29" s="37">
        <v>913770020</v>
      </c>
      <c r="H29" s="35">
        <f>IF(AND(ISBLANK(IMMeter[[#This Row],[Beg Ser]]),ISBLANK(IMMeter[[#This Row],[End Ser]])),"",IMMeter[[#This Row],[End Ser]]-IMMeter[[#This Row],[Beg Ser]]+1)</f>
        <v>2760</v>
      </c>
      <c r="I29" s="38">
        <v>44722</v>
      </c>
      <c r="J29" s="38"/>
      <c r="K29" s="57">
        <v>80448192</v>
      </c>
      <c r="L29" s="38">
        <v>45345</v>
      </c>
      <c r="M29" s="40">
        <v>113.71</v>
      </c>
      <c r="N29" s="34" t="s">
        <v>63</v>
      </c>
      <c r="O29" s="35">
        <v>71055999</v>
      </c>
      <c r="P29" s="35" t="s">
        <v>62</v>
      </c>
      <c r="Q29" s="5">
        <f>IF(ISBLANK(IMMeter[[#This Row],[PO Number]]),"",IF(ISBLANK(IMMeter[[#This Row],[Recv Date]]),0,1))</f>
        <v>1</v>
      </c>
      <c r="R29" s="60" t="s">
        <v>118</v>
      </c>
    </row>
    <row r="30" spans="1:18" ht="15.6" x14ac:dyDescent="0.3">
      <c r="A30" s="5">
        <f>IF(ISBLANK(IMMeter[[#This Row],[OpCo2]]),"",COUNTA(IMMeter[[#This Row],[OpCo2]])-(COUNTA(IMMeter[[#This Row],[OpCo2]])-ROW(IMMeter[[#This Row],[OpCo2]])+1))</f>
        <v>29</v>
      </c>
      <c r="B30" s="5" t="s">
        <v>18</v>
      </c>
      <c r="C30" s="34" t="s">
        <v>2</v>
      </c>
      <c r="D30" s="34" t="s">
        <v>1</v>
      </c>
      <c r="E30" s="35" t="s">
        <v>62</v>
      </c>
      <c r="F30" s="42">
        <v>913754776</v>
      </c>
      <c r="G30" s="43">
        <v>913757535</v>
      </c>
      <c r="H30" s="35">
        <f>IF(AND(ISBLANK(IMMeter[[#This Row],[Beg Ser]]),ISBLANK(IMMeter[[#This Row],[End Ser]])),"",IMMeter[[#This Row],[End Ser]]-IMMeter[[#This Row],[Beg Ser]]+1)</f>
        <v>2760</v>
      </c>
      <c r="I30" s="38">
        <v>44722</v>
      </c>
      <c r="J30" s="38"/>
      <c r="K30" s="57">
        <v>80848174</v>
      </c>
      <c r="L30" s="38">
        <v>45345</v>
      </c>
      <c r="M30" s="40">
        <v>113.71</v>
      </c>
      <c r="N30" s="34" t="s">
        <v>63</v>
      </c>
      <c r="O30" s="35">
        <v>71055999</v>
      </c>
      <c r="P30" s="35" t="s">
        <v>62</v>
      </c>
      <c r="Q30" s="5">
        <f>IF(ISBLANK(IMMeter[[#This Row],[PO Number]]),"",IF(ISBLANK(IMMeter[[#This Row],[Recv Date]]),0,1))</f>
        <v>1</v>
      </c>
      <c r="R30" s="60" t="s">
        <v>118</v>
      </c>
    </row>
    <row r="31" spans="1:18" ht="15.6" x14ac:dyDescent="0.3">
      <c r="A31" s="5">
        <f>IF(ISBLANK(IMMeter[[#This Row],[OpCo2]]),"",COUNTA(IMMeter[[#This Row],[OpCo2]])-(COUNTA(IMMeter[[#This Row],[OpCo2]])-ROW(IMMeter[[#This Row],[OpCo2]])+1))</f>
        <v>30</v>
      </c>
      <c r="B31" s="5" t="s">
        <v>18</v>
      </c>
      <c r="C31" s="6" t="s">
        <v>2</v>
      </c>
      <c r="D31" s="6" t="s">
        <v>1</v>
      </c>
      <c r="E31" s="5" t="s">
        <v>71</v>
      </c>
      <c r="F31" s="18">
        <v>913742176</v>
      </c>
      <c r="G31" s="19">
        <v>913743135</v>
      </c>
      <c r="H31" s="5">
        <f>IF(AND(ISBLANK(IMMeter[[#This Row],[Beg Ser]]),ISBLANK(IMMeter[[#This Row],[End Ser]])),"",IMMeter[[#This Row],[End Ser]]-IMMeter[[#This Row],[Beg Ser]]+1)</f>
        <v>960</v>
      </c>
      <c r="I31" s="7">
        <v>44574</v>
      </c>
      <c r="J31" s="7"/>
      <c r="K31" s="64">
        <v>80463539</v>
      </c>
      <c r="L31" s="7">
        <v>45348</v>
      </c>
      <c r="M31" s="11">
        <v>160.69</v>
      </c>
      <c r="N31" s="6" t="s">
        <v>142</v>
      </c>
      <c r="O31" s="5">
        <v>71056000</v>
      </c>
      <c r="P31" s="5" t="s">
        <v>71</v>
      </c>
      <c r="Q31" s="5">
        <f>IF(ISBLANK(IMMeter[[#This Row],[PO Number]]),"",IF(ISBLANK(IMMeter[[#This Row],[Recv Date]]),0,1))</f>
        <v>1</v>
      </c>
      <c r="R31" s="54" t="s">
        <v>120</v>
      </c>
    </row>
    <row r="32" spans="1:18" ht="15.6" x14ac:dyDescent="0.3">
      <c r="A32" s="5">
        <f>IF(ISBLANK(IMMeter[[#This Row],[OpCo2]]),"",COUNTA(IMMeter[[#This Row],[OpCo2]])-(COUNTA(IMMeter[[#This Row],[OpCo2]])-ROW(IMMeter[[#This Row],[OpCo2]])+1))</f>
        <v>31</v>
      </c>
      <c r="B32" s="5" t="s">
        <v>18</v>
      </c>
      <c r="C32" s="6" t="s">
        <v>2</v>
      </c>
      <c r="D32" s="6" t="s">
        <v>1</v>
      </c>
      <c r="E32" s="5" t="s">
        <v>62</v>
      </c>
      <c r="F32" s="18">
        <v>913752856</v>
      </c>
      <c r="G32" s="19">
        <v>913754775</v>
      </c>
      <c r="H32" s="5">
        <f>IF(AND(ISBLANK(IMMeter[[#This Row],[Beg Ser]]),ISBLANK(IMMeter[[#This Row],[End Ser]])),"",IMMeter[[#This Row],[End Ser]]-IMMeter[[#This Row],[Beg Ser]]+1)</f>
        <v>1920</v>
      </c>
      <c r="I32" s="7">
        <v>44635</v>
      </c>
      <c r="J32" s="7"/>
      <c r="K32" s="64">
        <v>80565266</v>
      </c>
      <c r="L32" s="7">
        <v>45348</v>
      </c>
      <c r="M32" s="11">
        <v>113.71</v>
      </c>
      <c r="N32" s="6" t="s">
        <v>63</v>
      </c>
      <c r="O32" s="5">
        <v>71055999</v>
      </c>
      <c r="P32" s="5" t="s">
        <v>62</v>
      </c>
      <c r="Q32" s="5">
        <f>IF(ISBLANK(IMMeter[[#This Row],[PO Number]]),"",IF(ISBLANK(IMMeter[[#This Row],[Recv Date]]),0,1))</f>
        <v>1</v>
      </c>
      <c r="R32" s="54" t="s">
        <v>120</v>
      </c>
    </row>
    <row r="33" spans="1:18" ht="15.6" x14ac:dyDescent="0.3">
      <c r="A33" s="5">
        <f>IF(ISBLANK(IMMeter[[#This Row],[OpCo2]]),"",COUNTA(IMMeter[[#This Row],[OpCo2]])-(COUNTA(IMMeter[[#This Row],[OpCo2]])-ROW(IMMeter[[#This Row],[OpCo2]])+1))</f>
        <v>32</v>
      </c>
      <c r="B33" s="5" t="s">
        <v>18</v>
      </c>
      <c r="C33" s="6" t="s">
        <v>2</v>
      </c>
      <c r="D33" s="6" t="s">
        <v>1</v>
      </c>
      <c r="E33" s="5" t="s">
        <v>62</v>
      </c>
      <c r="F33" s="18">
        <v>913750936</v>
      </c>
      <c r="G33" s="19">
        <v>913752855</v>
      </c>
      <c r="H33" s="5">
        <f>IF(AND(ISBLANK(IMMeter[[#This Row],[Beg Ser]]),ISBLANK(IMMeter[[#This Row],[End Ser]])),"",IMMeter[[#This Row],[End Ser]]-IMMeter[[#This Row],[Beg Ser]]+1)</f>
        <v>1920</v>
      </c>
      <c r="I33" s="7">
        <v>44574</v>
      </c>
      <c r="J33" s="7"/>
      <c r="K33" s="64">
        <v>80463243</v>
      </c>
      <c r="L33" s="7">
        <v>45348</v>
      </c>
      <c r="M33" s="11">
        <v>113.71</v>
      </c>
      <c r="N33" s="6" t="s">
        <v>63</v>
      </c>
      <c r="O33" s="5">
        <v>71055999</v>
      </c>
      <c r="P33" s="5" t="s">
        <v>62</v>
      </c>
      <c r="Q33" s="5">
        <f>IF(ISBLANK(IMMeter[[#This Row],[PO Number]]),"",IF(ISBLANK(IMMeter[[#This Row],[Recv Date]]),0,1))</f>
        <v>1</v>
      </c>
      <c r="R33" s="54" t="s">
        <v>120</v>
      </c>
    </row>
    <row r="34" spans="1:18" ht="15.6" x14ac:dyDescent="0.3">
      <c r="A34" s="5">
        <f>IF(ISBLANK(IMMeter[[#This Row],[OpCo2]]),"",COUNTA(IMMeter[[#This Row],[OpCo2]])-(COUNTA(IMMeter[[#This Row],[OpCo2]])-ROW(IMMeter[[#This Row],[OpCo2]])+1))</f>
        <v>33</v>
      </c>
      <c r="B34" s="5" t="s">
        <v>18</v>
      </c>
      <c r="C34" s="6" t="s">
        <v>2</v>
      </c>
      <c r="D34" s="6" t="s">
        <v>1</v>
      </c>
      <c r="E34" s="5" t="s">
        <v>143</v>
      </c>
      <c r="F34" s="18">
        <v>913776981</v>
      </c>
      <c r="G34" s="19">
        <v>913777220</v>
      </c>
      <c r="H34" s="5">
        <f>IF(AND(ISBLANK(IMMeter[[#This Row],[Beg Ser]]),ISBLANK(IMMeter[[#This Row],[End Ser]])),"",IMMeter[[#This Row],[End Ser]]-IMMeter[[#This Row],[Beg Ser]]+1)</f>
        <v>240</v>
      </c>
      <c r="I34" s="7">
        <v>44495</v>
      </c>
      <c r="J34" s="7"/>
      <c r="K34" s="22">
        <v>80426517</v>
      </c>
      <c r="L34" s="7">
        <v>45348</v>
      </c>
      <c r="M34" s="11">
        <v>115.6</v>
      </c>
      <c r="N34" s="6" t="s">
        <v>144</v>
      </c>
      <c r="O34" s="5">
        <v>99038727</v>
      </c>
      <c r="P34" s="5" t="s">
        <v>62</v>
      </c>
      <c r="Q34" s="5">
        <f>IF(ISBLANK(IMMeter[[#This Row],[PO Number]]),"",IF(ISBLANK(IMMeter[[#This Row],[Recv Date]]),0,1))</f>
        <v>1</v>
      </c>
      <c r="R34" s="54" t="s">
        <v>119</v>
      </c>
    </row>
    <row r="35" spans="1:18" ht="15.6" x14ac:dyDescent="0.3">
      <c r="A35" s="5">
        <f>IF(ISBLANK(IMMeter[[#This Row],[OpCo2]]),"",COUNTA(IMMeter[[#This Row],[OpCo2]])-(COUNTA(IMMeter[[#This Row],[OpCo2]])-ROW(IMMeter[[#This Row],[OpCo2]])+1))</f>
        <v>34</v>
      </c>
      <c r="B35" s="35" t="s">
        <v>18</v>
      </c>
      <c r="C35" s="34" t="s">
        <v>2</v>
      </c>
      <c r="D35" s="34" t="s">
        <v>1</v>
      </c>
      <c r="E35" s="35" t="s">
        <v>62</v>
      </c>
      <c r="F35" s="42">
        <v>913764501</v>
      </c>
      <c r="G35" s="43">
        <v>913767260</v>
      </c>
      <c r="H35" s="35">
        <f>IF(AND(ISBLANK(IMMeter[[#This Row],[Beg Ser]]),ISBLANK(IMMeter[[#This Row],[End Ser]])),"",IMMeter[[#This Row],[End Ser]]-IMMeter[[#This Row],[Beg Ser]]+1)</f>
        <v>2760</v>
      </c>
      <c r="I35" s="38">
        <v>44722</v>
      </c>
      <c r="J35" s="38"/>
      <c r="K35" s="57">
        <v>80848180</v>
      </c>
      <c r="L35" s="38">
        <v>45350</v>
      </c>
      <c r="M35" s="40">
        <v>113.71</v>
      </c>
      <c r="N35" s="34" t="s">
        <v>63</v>
      </c>
      <c r="O35" s="35">
        <v>71055999</v>
      </c>
      <c r="P35" s="35" t="s">
        <v>62</v>
      </c>
      <c r="Q35" s="5">
        <f>IF(ISBLANK(IMMeter[[#This Row],[PO Number]]),"",IF(ISBLANK(IMMeter[[#This Row],[Recv Date]]),0,1))</f>
        <v>1</v>
      </c>
      <c r="R35" s="60" t="s">
        <v>118</v>
      </c>
    </row>
    <row r="36" spans="1:18" ht="15.6" x14ac:dyDescent="0.3">
      <c r="A36" s="5">
        <f>IF(ISBLANK(IMMeter[[#This Row],[OpCo2]]),"",COUNTA(IMMeter[[#This Row],[OpCo2]])-(COUNTA(IMMeter[[#This Row],[OpCo2]])-ROW(IMMeter[[#This Row],[OpCo2]])+1))</f>
        <v>35</v>
      </c>
      <c r="B36" s="35" t="s">
        <v>18</v>
      </c>
      <c r="C36" s="34" t="s">
        <v>2</v>
      </c>
      <c r="D36" s="34" t="s">
        <v>1</v>
      </c>
      <c r="E36" s="35" t="s">
        <v>62</v>
      </c>
      <c r="F36" s="58">
        <v>913770021</v>
      </c>
      <c r="G36" s="59">
        <v>913776980</v>
      </c>
      <c r="H36" s="35">
        <f>IF(AND(ISBLANK(IMMeter[[#This Row],[Beg Ser]]),ISBLANK(IMMeter[[#This Row],[End Ser]])),"",IMMeter[[#This Row],[End Ser]]-IMMeter[[#This Row],[Beg Ser]]+1)</f>
        <v>6960</v>
      </c>
      <c r="I36" s="38">
        <v>44722</v>
      </c>
      <c r="J36" s="38"/>
      <c r="K36" s="57">
        <v>80848195</v>
      </c>
      <c r="L36" s="38">
        <v>45350</v>
      </c>
      <c r="M36" s="40">
        <v>113.71</v>
      </c>
      <c r="N36" s="34" t="s">
        <v>63</v>
      </c>
      <c r="O36" s="35">
        <v>71055999</v>
      </c>
      <c r="P36" s="35" t="s">
        <v>62</v>
      </c>
      <c r="Q36" s="5">
        <f>IF(ISBLANK(IMMeter[[#This Row],[PO Number]]),"",IF(ISBLANK(IMMeter[[#This Row],[Recv Date]]),0,1))</f>
        <v>1</v>
      </c>
      <c r="R36" s="60" t="s">
        <v>118</v>
      </c>
    </row>
    <row r="37" spans="1:18" ht="15.6" x14ac:dyDescent="0.3">
      <c r="A37" s="5">
        <f>IF(ISBLANK(IMMeter[[#This Row],[OpCo2]]),"",COUNTA(IMMeter[[#This Row],[OpCo2]])-(COUNTA(IMMeter[[#This Row],[OpCo2]])-ROW(IMMeter[[#This Row],[OpCo2]])+1))</f>
        <v>36</v>
      </c>
      <c r="B37" s="5" t="s">
        <v>18</v>
      </c>
      <c r="C37" s="6" t="s">
        <v>2</v>
      </c>
      <c r="D37" s="6" t="s">
        <v>1</v>
      </c>
      <c r="E37" s="5" t="s">
        <v>62</v>
      </c>
      <c r="F37" s="23">
        <v>913973659</v>
      </c>
      <c r="G37" s="55">
        <v>913976898</v>
      </c>
      <c r="H37" s="5">
        <f>IF(AND(ISBLANK(IMMeter[[#This Row],[Beg Ser]]),ISBLANK(IMMeter[[#This Row],[End Ser]])),"",IMMeter[[#This Row],[End Ser]]-IMMeter[[#This Row],[Beg Ser]]+1)</f>
        <v>3240</v>
      </c>
      <c r="I37" s="7">
        <v>44663</v>
      </c>
      <c r="J37" s="7"/>
      <c r="K37" s="22">
        <v>80610028</v>
      </c>
      <c r="L37" s="7">
        <v>45355</v>
      </c>
      <c r="M37" s="11">
        <v>113.71</v>
      </c>
      <c r="N37" s="6" t="s">
        <v>63</v>
      </c>
      <c r="O37" s="5">
        <v>71055999</v>
      </c>
      <c r="P37" s="5" t="s">
        <v>62</v>
      </c>
      <c r="Q37" s="5">
        <f>IF(ISBLANK(IMMeter[[#This Row],[PO Number]]),"",IF(ISBLANK(IMMeter[[#This Row],[Recv Date]]),0,1))</f>
        <v>1</v>
      </c>
      <c r="R37" s="54" t="s">
        <v>120</v>
      </c>
    </row>
    <row r="38" spans="1:18" ht="15.6" x14ac:dyDescent="0.3">
      <c r="A38" s="5">
        <f>IF(ISBLANK(IMMeter[[#This Row],[OpCo2]]),"",COUNTA(IMMeter[[#This Row],[OpCo2]])-(COUNTA(IMMeter[[#This Row],[OpCo2]])-ROW(IMMeter[[#This Row],[OpCo2]])+1))</f>
        <v>37</v>
      </c>
      <c r="B38" s="35" t="s">
        <v>18</v>
      </c>
      <c r="C38" s="34" t="s">
        <v>2</v>
      </c>
      <c r="D38" s="34" t="s">
        <v>1</v>
      </c>
      <c r="E38" s="35" t="s">
        <v>62</v>
      </c>
      <c r="F38" s="36">
        <v>913743136</v>
      </c>
      <c r="G38" s="61">
        <v>913750935</v>
      </c>
      <c r="H38" s="35">
        <f>IF(AND(ISBLANK(IMMeter[[#This Row],[Beg Ser]]),ISBLANK(IMMeter[[#This Row],[End Ser]])),"",IMMeter[[#This Row],[End Ser]]-IMMeter[[#This Row],[Beg Ser]]+1)</f>
        <v>7800</v>
      </c>
      <c r="I38" s="38">
        <v>44463</v>
      </c>
      <c r="J38" s="38"/>
      <c r="K38" s="57">
        <v>80410150</v>
      </c>
      <c r="L38" s="38">
        <v>45357</v>
      </c>
      <c r="M38" s="40">
        <v>113.71</v>
      </c>
      <c r="N38" s="34" t="s">
        <v>63</v>
      </c>
      <c r="O38" s="35">
        <v>71055999</v>
      </c>
      <c r="P38" s="35" t="s">
        <v>62</v>
      </c>
      <c r="Q38" s="5">
        <f>IF(ISBLANK(IMMeter[[#This Row],[PO Number]]),"",IF(ISBLANK(IMMeter[[#This Row],[Recv Date]]),0,1))</f>
        <v>1</v>
      </c>
      <c r="R38" s="60" t="s">
        <v>118</v>
      </c>
    </row>
    <row r="39" spans="1:18" ht="15.6" x14ac:dyDescent="0.3">
      <c r="A39" s="5">
        <f>IF(ISBLANK(IMMeter[[#This Row],[OpCo2]]),"",COUNTA(IMMeter[[#This Row],[OpCo2]])-(COUNTA(IMMeter[[#This Row],[OpCo2]])-ROW(IMMeter[[#This Row],[OpCo2]])+1))</f>
        <v>38</v>
      </c>
      <c r="B39" s="35" t="s">
        <v>18</v>
      </c>
      <c r="C39" s="34" t="s">
        <v>2</v>
      </c>
      <c r="D39" s="34" t="s">
        <v>1</v>
      </c>
      <c r="E39" s="35" t="s">
        <v>62</v>
      </c>
      <c r="F39" s="36">
        <v>913802686</v>
      </c>
      <c r="G39" s="61">
        <v>913810485</v>
      </c>
      <c r="H39" s="35">
        <f>IF(AND(ISBLANK(IMMeter[[#This Row],[Beg Ser]]),ISBLANK(IMMeter[[#This Row],[End Ser]])),"",IMMeter[[#This Row],[End Ser]]-IMMeter[[#This Row],[Beg Ser]]+1)</f>
        <v>7800</v>
      </c>
      <c r="I39" s="38">
        <v>44463</v>
      </c>
      <c r="J39" s="38"/>
      <c r="K39" s="57">
        <v>80410149</v>
      </c>
      <c r="L39" s="38">
        <v>45357</v>
      </c>
      <c r="M39" s="40">
        <v>113.71</v>
      </c>
      <c r="N39" s="34" t="s">
        <v>63</v>
      </c>
      <c r="O39" s="35">
        <v>71055999</v>
      </c>
      <c r="P39" s="35" t="s">
        <v>62</v>
      </c>
      <c r="Q39" s="5">
        <f>IF(ISBLANK(IMMeter[[#This Row],[PO Number]]),"",IF(ISBLANK(IMMeter[[#This Row],[Recv Date]]),0,1))</f>
        <v>1</v>
      </c>
      <c r="R39" s="60" t="s">
        <v>118</v>
      </c>
    </row>
    <row r="40" spans="1:18" ht="15.6" x14ac:dyDescent="0.3">
      <c r="A40" s="5">
        <f>IF(ISBLANK(IMMeter[[#This Row],[OpCo2]]),"",COUNTA(IMMeter[[#This Row],[OpCo2]])-(COUNTA(IMMeter[[#This Row],[OpCo2]])-ROW(IMMeter[[#This Row],[OpCo2]])+1))</f>
        <v>39</v>
      </c>
      <c r="B40" s="5" t="s">
        <v>18</v>
      </c>
      <c r="C40" s="6" t="s">
        <v>2</v>
      </c>
      <c r="D40" s="6" t="s">
        <v>1</v>
      </c>
      <c r="E40" s="31" t="s">
        <v>85</v>
      </c>
      <c r="F40" s="63">
        <v>614074569</v>
      </c>
      <c r="G40" s="19">
        <v>614074952</v>
      </c>
      <c r="H40" s="5">
        <f>IF(AND(ISBLANK(IMMeter[[#This Row],[Beg Ser]]),ISBLANK(IMMeter[[#This Row],[End Ser]])),"",IMMeter[[#This Row],[End Ser]]-IMMeter[[#This Row],[Beg Ser]]+1)</f>
        <v>384</v>
      </c>
      <c r="I40" s="7">
        <v>44811</v>
      </c>
      <c r="J40" s="7"/>
      <c r="K40" s="22">
        <v>81057564</v>
      </c>
      <c r="L40" s="7">
        <v>45359</v>
      </c>
      <c r="M40" s="11">
        <v>225.98</v>
      </c>
      <c r="N40" s="6" t="s">
        <v>86</v>
      </c>
      <c r="O40" s="5">
        <v>99114988</v>
      </c>
      <c r="P40" s="5" t="s">
        <v>85</v>
      </c>
      <c r="Q40" s="5">
        <f>IF(ISBLANK(IMMeter[[#This Row],[PO Number]]),"",IF(ISBLANK(IMMeter[[#This Row],[Recv Date]]),0,1))</f>
        <v>1</v>
      </c>
      <c r="R40" s="54" t="s">
        <v>120</v>
      </c>
    </row>
    <row r="41" spans="1:18" ht="15.6" x14ac:dyDescent="0.3">
      <c r="A41" s="5">
        <f>IF(ISBLANK(IMMeter[[#This Row],[OpCo2]]),"",COUNTA(IMMeter[[#This Row],[OpCo2]])-(COUNTA(IMMeter[[#This Row],[OpCo2]])-ROW(IMMeter[[#This Row],[OpCo2]])+1))</f>
        <v>40</v>
      </c>
      <c r="B41" s="5" t="s">
        <v>18</v>
      </c>
      <c r="C41" s="6" t="s">
        <v>2</v>
      </c>
      <c r="D41" s="6" t="s">
        <v>1</v>
      </c>
      <c r="E41" s="31" t="s">
        <v>0</v>
      </c>
      <c r="F41" s="63">
        <v>614001939</v>
      </c>
      <c r="G41" s="19">
        <v>614002130</v>
      </c>
      <c r="H41" s="5">
        <f>IF(AND(ISBLANK(IMMeter[[#This Row],[Beg Ser]]),ISBLANK(IMMeter[[#This Row],[End Ser]])),"",IMMeter[[#This Row],[End Ser]]-IMMeter[[#This Row],[Beg Ser]]+1)</f>
        <v>192</v>
      </c>
      <c r="I41" s="7">
        <v>44722</v>
      </c>
      <c r="J41" s="7"/>
      <c r="K41" s="22">
        <v>80848192</v>
      </c>
      <c r="L41" s="7">
        <v>45359</v>
      </c>
      <c r="M41" s="11">
        <v>215.16</v>
      </c>
      <c r="N41" s="6" t="s">
        <v>76</v>
      </c>
      <c r="O41" s="5">
        <v>99114989</v>
      </c>
      <c r="P41" s="5" t="s">
        <v>0</v>
      </c>
      <c r="Q41" s="5">
        <f>IF(ISBLANK(IMMeter[[#This Row],[PO Number]]),"",IF(ISBLANK(IMMeter[[#This Row],[Recv Date]]),0,1))</f>
        <v>1</v>
      </c>
      <c r="R41" s="54" t="s">
        <v>145</v>
      </c>
    </row>
    <row r="42" spans="1:18" ht="15.6" x14ac:dyDescent="0.3">
      <c r="A42" s="5">
        <f>IF(ISBLANK(IMMeter[[#This Row],[OpCo2]]),"",COUNTA(IMMeter[[#This Row],[OpCo2]])-(COUNTA(IMMeter[[#This Row],[OpCo2]])-ROW(IMMeter[[#This Row],[OpCo2]])+1))</f>
        <v>41</v>
      </c>
      <c r="B42" s="35" t="s">
        <v>18</v>
      </c>
      <c r="C42" s="34" t="s">
        <v>2</v>
      </c>
      <c r="D42" s="34" t="s">
        <v>1</v>
      </c>
      <c r="E42" s="61" t="s">
        <v>85</v>
      </c>
      <c r="F42" s="65">
        <v>614004406</v>
      </c>
      <c r="G42" s="43">
        <v>614005461</v>
      </c>
      <c r="H42" s="35">
        <f>IF(AND(ISBLANK(IMMeter[[#This Row],[Beg Ser]]),ISBLANK(IMMeter[[#This Row],[End Ser]])),"",IMMeter[[#This Row],[End Ser]]-IMMeter[[#This Row],[Beg Ser]]+1)</f>
        <v>1056</v>
      </c>
      <c r="I42" s="38">
        <v>44463</v>
      </c>
      <c r="J42" s="38"/>
      <c r="K42" s="57">
        <v>80410142</v>
      </c>
      <c r="L42" s="38">
        <v>45369</v>
      </c>
      <c r="M42" s="66">
        <v>225.98</v>
      </c>
      <c r="N42" s="34" t="s">
        <v>86</v>
      </c>
      <c r="O42" s="35">
        <v>99114988</v>
      </c>
      <c r="P42" s="35" t="s">
        <v>85</v>
      </c>
      <c r="Q42" s="5">
        <f>IF(ISBLANK(IMMeter[[#This Row],[PO Number]]),"",IF(ISBLANK(IMMeter[[#This Row],[Recv Date]]),0,1))</f>
        <v>1</v>
      </c>
      <c r="R42" s="60" t="s">
        <v>118</v>
      </c>
    </row>
    <row r="43" spans="1:18" ht="15.6" x14ac:dyDescent="0.3">
      <c r="A43" s="5">
        <f>IF(ISBLANK(IMMeter[[#This Row],[OpCo2]]),"",COUNTA(IMMeter[[#This Row],[OpCo2]])-(COUNTA(IMMeter[[#This Row],[OpCo2]])-ROW(IMMeter[[#This Row],[OpCo2]])+1))</f>
        <v>42</v>
      </c>
      <c r="B43" s="5" t="s">
        <v>18</v>
      </c>
      <c r="C43" s="6" t="s">
        <v>2</v>
      </c>
      <c r="D43" s="6" t="s">
        <v>1</v>
      </c>
      <c r="E43" s="31" t="s">
        <v>85</v>
      </c>
      <c r="F43" s="63">
        <v>614242304</v>
      </c>
      <c r="G43" s="19">
        <v>614242687</v>
      </c>
      <c r="H43" s="5">
        <f>IF(AND(ISBLANK(IMMeter[[#This Row],[Beg Ser]]),ISBLANK(IMMeter[[#This Row],[End Ser]])),"",IMMeter[[#This Row],[End Ser]]-IMMeter[[#This Row],[Beg Ser]]+1)</f>
        <v>384</v>
      </c>
      <c r="I43" s="7">
        <v>44900</v>
      </c>
      <c r="J43" s="7"/>
      <c r="K43" s="22">
        <v>81102547</v>
      </c>
      <c r="L43" s="7">
        <v>45377</v>
      </c>
      <c r="M43" s="11">
        <v>225.98</v>
      </c>
      <c r="N43" s="6" t="s">
        <v>86</v>
      </c>
      <c r="O43" s="5">
        <v>99114988</v>
      </c>
      <c r="P43" s="5" t="s">
        <v>85</v>
      </c>
      <c r="Q43" s="5">
        <f>IF(ISBLANK(IMMeter[[#This Row],[PO Number]]),"",IF(ISBLANK(IMMeter[[#This Row],[Recv Date]]),0,1))</f>
        <v>1</v>
      </c>
      <c r="R43" s="54" t="s">
        <v>118</v>
      </c>
    </row>
    <row r="44" spans="1:18" ht="15.6" x14ac:dyDescent="0.3">
      <c r="A44" s="5">
        <f>IF(ISBLANK(IMMeter[[#This Row],[OpCo2]]),"",COUNTA(IMMeter[[#This Row],[OpCo2]])-(COUNTA(IMMeter[[#This Row],[OpCo2]])-ROW(IMMeter[[#This Row],[OpCo2]])+1))</f>
        <v>43</v>
      </c>
      <c r="B44" s="35" t="s">
        <v>18</v>
      </c>
      <c r="C44" s="34" t="s">
        <v>2</v>
      </c>
      <c r="D44" s="34" t="s">
        <v>1</v>
      </c>
      <c r="E44" s="61" t="s">
        <v>0</v>
      </c>
      <c r="F44" s="65">
        <v>614001115</v>
      </c>
      <c r="G44" s="43">
        <v>614001938</v>
      </c>
      <c r="H44" s="35">
        <f>IF(AND(ISBLANK(IMMeter[[#This Row],[Beg Ser]]),ISBLANK(IMMeter[[#This Row],[End Ser]])),"",IMMeter[[#This Row],[End Ser]]-IMMeter[[#This Row],[Beg Ser]]+1)</f>
        <v>824</v>
      </c>
      <c r="I44" s="38">
        <v>44463</v>
      </c>
      <c r="J44" s="38"/>
      <c r="K44" s="57">
        <v>80410123</v>
      </c>
      <c r="L44" s="38">
        <v>45369</v>
      </c>
      <c r="M44" s="40">
        <v>215.16</v>
      </c>
      <c r="N44" s="34" t="s">
        <v>76</v>
      </c>
      <c r="O44" s="35">
        <v>99114989</v>
      </c>
      <c r="P44" s="35" t="s">
        <v>0</v>
      </c>
      <c r="Q44" s="5">
        <f>IF(ISBLANK(IMMeter[[#This Row],[PO Number]]),"",IF(ISBLANK(IMMeter[[#This Row],[Recv Date]]),0,1))</f>
        <v>1</v>
      </c>
      <c r="R44" s="60" t="s">
        <v>118</v>
      </c>
    </row>
    <row r="45" spans="1:18" ht="15.6" x14ac:dyDescent="0.3">
      <c r="A45" s="5">
        <f>IF(ISBLANK(IMMeter[[#This Row],[OpCo2]]),"",COUNTA(IMMeter[[#This Row],[OpCo2]])-(COUNTA(IMMeter[[#This Row],[OpCo2]])-ROW(IMMeter[[#This Row],[OpCo2]])+1))</f>
        <v>44</v>
      </c>
      <c r="B45" s="5" t="s">
        <v>18</v>
      </c>
      <c r="C45" s="6" t="s">
        <v>2</v>
      </c>
      <c r="D45" s="6" t="s">
        <v>1</v>
      </c>
      <c r="E45" s="31" t="s">
        <v>62</v>
      </c>
      <c r="F45" s="63">
        <v>913999094</v>
      </c>
      <c r="G45" s="19">
        <v>913999933</v>
      </c>
      <c r="H45" s="5">
        <f>IF(AND(ISBLANK(IMMeter[[#This Row],[Beg Ser]]),ISBLANK(IMMeter[[#This Row],[End Ser]])),"",IMMeter[[#This Row],[End Ser]]-IMMeter[[#This Row],[Beg Ser]]+1)</f>
        <v>840</v>
      </c>
      <c r="I45" s="7">
        <v>44900</v>
      </c>
      <c r="J45" s="7"/>
      <c r="K45" s="22">
        <v>81102544</v>
      </c>
      <c r="L45" s="7">
        <v>45369</v>
      </c>
      <c r="M45" s="11">
        <v>115.6</v>
      </c>
      <c r="N45" s="6" t="s">
        <v>144</v>
      </c>
      <c r="O45" s="5">
        <v>99038727</v>
      </c>
      <c r="P45" s="5" t="s">
        <v>62</v>
      </c>
      <c r="Q45" s="5">
        <f>IF(ISBLANK(IMMeter[[#This Row],[PO Number]]),"",IF(ISBLANK(IMMeter[[#This Row],[Recv Date]]),0,1))</f>
        <v>1</v>
      </c>
      <c r="R45" s="54" t="s">
        <v>119</v>
      </c>
    </row>
    <row r="46" spans="1:18" ht="15.6" x14ac:dyDescent="0.3">
      <c r="A46" s="5">
        <f>IF(ISBLANK(IMMeter[[#This Row],[OpCo2]]),"",COUNTA(IMMeter[[#This Row],[OpCo2]])-(COUNTA(IMMeter[[#This Row],[OpCo2]])-ROW(IMMeter[[#This Row],[OpCo2]])+1))</f>
        <v>45</v>
      </c>
      <c r="B46" s="35" t="s">
        <v>18</v>
      </c>
      <c r="C46" s="6" t="s">
        <v>2</v>
      </c>
      <c r="D46" s="6" t="s">
        <v>1</v>
      </c>
      <c r="E46" s="31" t="s">
        <v>0</v>
      </c>
      <c r="F46" s="63">
        <v>614182559</v>
      </c>
      <c r="G46" s="19">
        <v>614183326</v>
      </c>
      <c r="H46" s="5">
        <f>IF(AND(ISBLANK(IMMeter[[#This Row],[Beg Ser]]),ISBLANK(IMMeter[[#This Row],[End Ser]])),"",IMMeter[[#This Row],[End Ser]]-IMMeter[[#This Row],[Beg Ser]]+1)</f>
        <v>768</v>
      </c>
      <c r="I46" s="7">
        <v>45631</v>
      </c>
      <c r="J46" s="7"/>
      <c r="K46" s="22">
        <v>81102545</v>
      </c>
      <c r="L46" s="7">
        <v>45369</v>
      </c>
      <c r="M46" s="11">
        <v>215.16</v>
      </c>
      <c r="N46" s="6" t="s">
        <v>76</v>
      </c>
      <c r="O46" s="5">
        <v>99114989</v>
      </c>
      <c r="P46" s="35" t="s">
        <v>0</v>
      </c>
      <c r="Q46" s="5">
        <f>IF(ISBLANK(IMMeter[[#This Row],[PO Number]]),"",IF(ISBLANK(IMMeter[[#This Row],[Recv Date]]),0,1))</f>
        <v>1</v>
      </c>
      <c r="R46" s="54" t="s">
        <v>120</v>
      </c>
    </row>
    <row r="47" spans="1:18" ht="15.6" x14ac:dyDescent="0.3">
      <c r="A47" s="5">
        <f>IF(ISBLANK(IMMeter[[#This Row],[OpCo2]]),"",COUNTA(IMMeter[[#This Row],[OpCo2]])-(COUNTA(IMMeter[[#This Row],[OpCo2]])-ROW(IMMeter[[#This Row],[OpCo2]])+1))</f>
        <v>46</v>
      </c>
      <c r="B47" s="5" t="s">
        <v>18</v>
      </c>
      <c r="C47" s="6" t="s">
        <v>2</v>
      </c>
      <c r="D47" s="6" t="s">
        <v>1</v>
      </c>
      <c r="E47" s="31" t="s">
        <v>147</v>
      </c>
      <c r="F47" s="63">
        <v>614005462</v>
      </c>
      <c r="G47" s="19">
        <v>614005557</v>
      </c>
      <c r="H47" s="5">
        <f>IF(AND(ISBLANK(IMMeter[[#This Row],[Beg Ser]]),ISBLANK(IMMeter[[#This Row],[End Ser]])),"",IMMeter[[#This Row],[End Ser]]-IMMeter[[#This Row],[Beg Ser]]+1)</f>
        <v>96</v>
      </c>
      <c r="I47" s="7">
        <v>44722</v>
      </c>
      <c r="J47" s="7"/>
      <c r="K47" s="22">
        <v>80848192</v>
      </c>
      <c r="L47" s="7">
        <v>45377</v>
      </c>
      <c r="M47" s="11">
        <v>225.98</v>
      </c>
      <c r="N47" s="6" t="s">
        <v>148</v>
      </c>
      <c r="O47" s="5">
        <v>99114990</v>
      </c>
      <c r="P47" s="5" t="s">
        <v>147</v>
      </c>
      <c r="Q47" s="5">
        <f>IF(ISBLANK(IMMeter[[#This Row],[PO Number]]),"",IF(ISBLANK(IMMeter[[#This Row],[Recv Date]]),0,1))</f>
        <v>1</v>
      </c>
      <c r="R47" s="54"/>
    </row>
    <row r="48" spans="1:18" ht="15.6" x14ac:dyDescent="0.3">
      <c r="A48" s="5">
        <f>IF(ISBLANK(IMMeter[[#This Row],[OpCo2]]),"",COUNTA(IMMeter[[#This Row],[OpCo2]])-(COUNTA(IMMeter[[#This Row],[OpCo2]])-ROW(IMMeter[[#This Row],[OpCo2]])+1))</f>
        <v>47</v>
      </c>
      <c r="B48" s="5" t="s">
        <v>18</v>
      </c>
      <c r="C48" s="6" t="s">
        <v>80</v>
      </c>
      <c r="D48" s="6" t="s">
        <v>1</v>
      </c>
      <c r="E48" s="31" t="s">
        <v>149</v>
      </c>
      <c r="F48" s="63">
        <v>913998079</v>
      </c>
      <c r="G48" s="19">
        <v>913998318</v>
      </c>
      <c r="H48" s="5">
        <f>IF(AND(ISBLANK(IMMeter[[#This Row],[Beg Ser]]),ISBLANK(IMMeter[[#This Row],[End Ser]])),"",IMMeter[[#This Row],[End Ser]]-IMMeter[[#This Row],[Beg Ser]]+1)</f>
        <v>240</v>
      </c>
      <c r="I48" s="7">
        <v>44830</v>
      </c>
      <c r="J48" s="7"/>
      <c r="K48" s="22">
        <v>81068266</v>
      </c>
      <c r="L48" s="7">
        <v>45384</v>
      </c>
      <c r="M48" s="11">
        <v>78.78</v>
      </c>
      <c r="N48" s="6" t="s">
        <v>150</v>
      </c>
      <c r="O48" s="5">
        <v>99118525</v>
      </c>
      <c r="P48" s="5" t="s">
        <v>149</v>
      </c>
      <c r="Q48" s="5">
        <f>IF(ISBLANK(IMMeter[[#This Row],[PO Number]]),"",IF(ISBLANK(IMMeter[[#This Row],[Recv Date]]),0,1))</f>
        <v>1</v>
      </c>
      <c r="R48" s="54"/>
    </row>
    <row r="49" spans="1:18" ht="15.6" x14ac:dyDescent="0.3">
      <c r="A49" s="5">
        <f>IF(ISBLANK(IMMeter[[#This Row],[OpCo2]]),"",COUNTA(IMMeter[[#This Row],[OpCo2]])-(COUNTA(IMMeter[[#This Row],[OpCo2]])-ROW(IMMeter[[#This Row],[OpCo2]])+1))</f>
        <v>48</v>
      </c>
      <c r="B49" s="5" t="s">
        <v>18</v>
      </c>
      <c r="C49" s="6" t="s">
        <v>2</v>
      </c>
      <c r="D49" s="6" t="s">
        <v>1</v>
      </c>
      <c r="E49" s="31" t="s">
        <v>147</v>
      </c>
      <c r="F49" s="63">
        <v>614368968</v>
      </c>
      <c r="G49" s="19">
        <v>614369063</v>
      </c>
      <c r="H49" s="5">
        <f>IF(AND(ISBLANK(IMMeter[[#This Row],[Beg Ser]]),ISBLANK(IMMeter[[#This Row],[End Ser]])),"",IMMeter[[#This Row],[End Ser]]-IMMeter[[#This Row],[Beg Ser]]+1)</f>
        <v>96</v>
      </c>
      <c r="I49" s="7">
        <v>44811</v>
      </c>
      <c r="J49" s="7"/>
      <c r="K49" s="22">
        <v>81057564</v>
      </c>
      <c r="L49" s="7">
        <v>45407</v>
      </c>
      <c r="M49" s="11">
        <v>225.98</v>
      </c>
      <c r="N49" s="6" t="s">
        <v>148</v>
      </c>
      <c r="O49" s="5">
        <v>99114990</v>
      </c>
      <c r="P49" s="5" t="s">
        <v>147</v>
      </c>
      <c r="Q49" s="5">
        <f>IF(ISBLANK(IMMeter[[#This Row],[PO Number]]),"",IF(ISBLANK(IMMeter[[#This Row],[Recv Date]]),0,1))</f>
        <v>1</v>
      </c>
      <c r="R49" s="54"/>
    </row>
    <row r="50" spans="1:18" ht="15.6" x14ac:dyDescent="0.3">
      <c r="A50" s="5">
        <f>IF(ISBLANK(IMMeter[[#This Row],[OpCo2]]),"",COUNTA(IMMeter[[#This Row],[OpCo2]])-(COUNTA(IMMeter[[#This Row],[OpCo2]])-ROW(IMMeter[[#This Row],[OpCo2]])+1))</f>
        <v>49</v>
      </c>
      <c r="B50" s="5" t="s">
        <v>18</v>
      </c>
      <c r="C50" s="6" t="s">
        <v>2</v>
      </c>
      <c r="D50" s="6" t="s">
        <v>1</v>
      </c>
      <c r="E50" s="31" t="s">
        <v>128</v>
      </c>
      <c r="F50" s="63">
        <v>614364408</v>
      </c>
      <c r="G50" s="19">
        <v>614364791</v>
      </c>
      <c r="H50" s="5">
        <f>IF(AND(ISBLANK(IMMeter[[#This Row],[Beg Ser]]),ISBLANK(IMMeter[[#This Row],[End Ser]])),"",IMMeter[[#This Row],[End Ser]]-IMMeter[[#This Row],[Beg Ser]]+1)</f>
        <v>384</v>
      </c>
      <c r="I50" s="7">
        <v>44634</v>
      </c>
      <c r="J50" s="7"/>
      <c r="K50" s="22">
        <v>80564663</v>
      </c>
      <c r="L50" s="7">
        <v>45407</v>
      </c>
      <c r="M50" s="11">
        <v>225.98</v>
      </c>
      <c r="N50" s="6" t="s">
        <v>129</v>
      </c>
      <c r="O50" s="5">
        <v>99114944</v>
      </c>
      <c r="P50" s="5" t="s">
        <v>154</v>
      </c>
      <c r="Q50" s="5">
        <f>IF(ISBLANK(IMMeter[[#This Row],[PO Number]]),"",IF(ISBLANK(IMMeter[[#This Row],[Recv Date]]),0,1))</f>
        <v>1</v>
      </c>
      <c r="R50" s="54"/>
    </row>
    <row r="51" spans="1:18" ht="15.6" x14ac:dyDescent="0.3">
      <c r="A51" s="5">
        <f>IF(ISBLANK(IMMeter[[#This Row],[OpCo2]]),"",COUNTA(IMMeter[[#This Row],[OpCo2]])-(COUNTA(IMMeter[[#This Row],[OpCo2]])-ROW(IMMeter[[#This Row],[OpCo2]])+1))</f>
        <v>50</v>
      </c>
      <c r="B51" s="5" t="s">
        <v>18</v>
      </c>
      <c r="C51" s="6" t="s">
        <v>2</v>
      </c>
      <c r="D51" s="6" t="s">
        <v>1</v>
      </c>
      <c r="E51" s="31" t="s">
        <v>128</v>
      </c>
      <c r="F51" s="63">
        <v>614364792</v>
      </c>
      <c r="G51" s="19">
        <v>614364887</v>
      </c>
      <c r="H51" s="5">
        <f>IF(AND(ISBLANK(IMMeter[[#This Row],[Beg Ser]]),ISBLANK(IMMeter[[#This Row],[End Ser]])),"",IMMeter[[#This Row],[End Ser]]-IMMeter[[#This Row],[Beg Ser]]+1)</f>
        <v>96</v>
      </c>
      <c r="I51" s="7">
        <v>44811</v>
      </c>
      <c r="J51" s="7"/>
      <c r="K51" s="22">
        <v>81057564</v>
      </c>
      <c r="L51" s="7">
        <v>45407</v>
      </c>
      <c r="M51" s="11">
        <v>225.98</v>
      </c>
      <c r="N51" s="6" t="s">
        <v>129</v>
      </c>
      <c r="O51" s="5">
        <v>99114944</v>
      </c>
      <c r="P51" s="5" t="s">
        <v>128</v>
      </c>
      <c r="Q51" s="5">
        <f>IF(ISBLANK(IMMeter[[#This Row],[PO Number]]),"",IF(ISBLANK(IMMeter[[#This Row],[Recv Date]]),0,1))</f>
        <v>1</v>
      </c>
      <c r="R51" s="54"/>
    </row>
    <row r="52" spans="1:18" ht="15.6" x14ac:dyDescent="0.3">
      <c r="A52" s="5">
        <f>IF(ISBLANK(IMMeter[[#This Row],[OpCo2]]),"",COUNTA(IMMeter[[#This Row],[OpCo2]])-(COUNTA(IMMeter[[#This Row],[OpCo2]])-ROW(IMMeter[[#This Row],[OpCo2]])+1))</f>
        <v>51</v>
      </c>
      <c r="B52" s="5" t="s">
        <v>18</v>
      </c>
      <c r="C52" s="6" t="s">
        <v>2</v>
      </c>
      <c r="D52" s="6" t="s">
        <v>1</v>
      </c>
      <c r="E52" s="31" t="s">
        <v>85</v>
      </c>
      <c r="F52" s="63">
        <v>614358435</v>
      </c>
      <c r="G52" s="19">
        <v>614362178</v>
      </c>
      <c r="H52" s="5">
        <f>IF(AND(ISBLANK(IMMeter[[#This Row],[Beg Ser]]),ISBLANK(IMMeter[[#This Row],[End Ser]])),"",IMMeter[[#This Row],[End Ser]]-IMMeter[[#This Row],[Beg Ser]]+1)</f>
        <v>3744</v>
      </c>
      <c r="I52" s="7">
        <v>44463</v>
      </c>
      <c r="J52" s="7"/>
      <c r="K52" s="22">
        <v>80410141</v>
      </c>
      <c r="L52" s="7">
        <v>45407</v>
      </c>
      <c r="M52" s="11">
        <v>225.98</v>
      </c>
      <c r="N52" s="6" t="s">
        <v>86</v>
      </c>
      <c r="O52" s="5">
        <v>99114988</v>
      </c>
      <c r="P52" s="5" t="s">
        <v>85</v>
      </c>
      <c r="Q52" s="5">
        <f>IF(ISBLANK(IMMeter[[#This Row],[PO Number]]),"",IF(ISBLANK(IMMeter[[#This Row],[Recv Date]]),0,1))</f>
        <v>1</v>
      </c>
      <c r="R52" s="54"/>
    </row>
    <row r="53" spans="1:18" ht="15.6" x14ac:dyDescent="0.3">
      <c r="A53" s="5">
        <f>IF(ISBLANK(IMMeter[[#This Row],[OpCo2]]),"",COUNTA(IMMeter[[#This Row],[OpCo2]])-(COUNTA(IMMeter[[#This Row],[OpCo2]])-ROW(IMMeter[[#This Row],[OpCo2]])+1))</f>
        <v>52</v>
      </c>
      <c r="B53" s="5" t="s">
        <v>18</v>
      </c>
      <c r="C53" s="6" t="s">
        <v>2</v>
      </c>
      <c r="D53" s="6" t="s">
        <v>1</v>
      </c>
      <c r="E53" s="5" t="s">
        <v>62</v>
      </c>
      <c r="F53" s="18">
        <v>914140522</v>
      </c>
      <c r="G53" s="19">
        <v>914146521</v>
      </c>
      <c r="H53" s="5">
        <f>IF(AND(ISBLANK(IMMeter[[#This Row],[Beg Ser]]),ISBLANK(IMMeter[[#This Row],[End Ser]])),"",IMMeter[[#This Row],[End Ser]]-IMMeter[[#This Row],[Beg Ser]]+1)</f>
        <v>6000</v>
      </c>
      <c r="I53" s="7">
        <v>44634</v>
      </c>
      <c r="J53" s="7"/>
      <c r="K53" s="22">
        <v>80564672</v>
      </c>
      <c r="L53" s="7">
        <v>45414</v>
      </c>
      <c r="M53" s="11">
        <v>113.71</v>
      </c>
      <c r="N53" s="6" t="s">
        <v>63</v>
      </c>
      <c r="O53" s="5">
        <v>71055999</v>
      </c>
      <c r="P53" s="5" t="s">
        <v>62</v>
      </c>
      <c r="Q53" s="5">
        <f>IF(ISBLANK(IMMeter[[#This Row],[PO Number]]),"",IF(ISBLANK(IMMeter[[#This Row],[Recv Date]]),0,1))</f>
        <v>1</v>
      </c>
      <c r="R53" s="54"/>
    </row>
    <row r="54" spans="1:18" ht="15.6" x14ac:dyDescent="0.3">
      <c r="A54" s="5">
        <f>IF(ISBLANK(IMMeter[[#This Row],[OpCo2]]),"",COUNTA(IMMeter[[#This Row],[OpCo2]])-(COUNTA(IMMeter[[#This Row],[OpCo2]])-ROW(IMMeter[[#This Row],[OpCo2]])+1))</f>
        <v>53</v>
      </c>
      <c r="B54" s="5" t="s">
        <v>18</v>
      </c>
      <c r="C54" s="6" t="s">
        <v>2</v>
      </c>
      <c r="D54" s="6" t="s">
        <v>1</v>
      </c>
      <c r="E54" s="5" t="s">
        <v>62</v>
      </c>
      <c r="F54" s="18">
        <v>921028945</v>
      </c>
      <c r="G54" s="19">
        <v>921031344</v>
      </c>
      <c r="H54" s="5">
        <f>IF(AND(ISBLANK(IMMeter[[#This Row],[Beg Ser]]),ISBLANK(IMMeter[[#This Row],[End Ser]])),"",IMMeter[[#This Row],[End Ser]]-IMMeter[[#This Row],[Beg Ser]]+1)</f>
        <v>2400</v>
      </c>
      <c r="I54" s="7">
        <v>44811</v>
      </c>
      <c r="J54" s="7"/>
      <c r="K54" s="22">
        <v>81057449</v>
      </c>
      <c r="L54" s="7">
        <v>45421</v>
      </c>
      <c r="M54" s="11">
        <v>113.71</v>
      </c>
      <c r="N54" s="6" t="s">
        <v>63</v>
      </c>
      <c r="O54" s="5">
        <v>71055999</v>
      </c>
      <c r="P54" s="5" t="s">
        <v>62</v>
      </c>
      <c r="Q54" s="5">
        <f>IF(ISBLANK(IMMeter[[#This Row],[PO Number]]),"",IF(ISBLANK(IMMeter[[#This Row],[Recv Date]]),0,1))</f>
        <v>1</v>
      </c>
      <c r="R54" s="54"/>
    </row>
    <row r="55" spans="1:18" ht="15.6" x14ac:dyDescent="0.3">
      <c r="A55" s="5">
        <f>IF(ISBLANK(IMMeter[[#This Row],[OpCo2]]),"",COUNTA(IMMeter[[#This Row],[OpCo2]])-(COUNTA(IMMeter[[#This Row],[OpCo2]])-ROW(IMMeter[[#This Row],[OpCo2]])+1))</f>
        <v>54</v>
      </c>
      <c r="B55" s="5" t="s">
        <v>18</v>
      </c>
      <c r="C55" s="6" t="s">
        <v>2</v>
      </c>
      <c r="D55" s="6" t="s">
        <v>1</v>
      </c>
      <c r="E55" s="5" t="s">
        <v>65</v>
      </c>
      <c r="F55" s="18">
        <v>914679392</v>
      </c>
      <c r="G55" s="19">
        <v>914679511</v>
      </c>
      <c r="H55" s="5">
        <f>IF(AND(ISBLANK(IMMeter[[#This Row],[Beg Ser]]),ISBLANK(IMMeter[[#This Row],[End Ser]])),"",IMMeter[[#This Row],[End Ser]]-IMMeter[[#This Row],[Beg Ser]]+1)</f>
        <v>120</v>
      </c>
      <c r="I55" s="7">
        <v>44722</v>
      </c>
      <c r="J55" s="7"/>
      <c r="K55" s="22">
        <v>80848192</v>
      </c>
      <c r="L55" s="7">
        <v>45469</v>
      </c>
      <c r="M55" s="11">
        <v>392.11</v>
      </c>
      <c r="N55" s="6" t="s">
        <v>70</v>
      </c>
      <c r="O55" s="5">
        <v>71058289</v>
      </c>
      <c r="P55" s="5" t="s">
        <v>65</v>
      </c>
      <c r="Q55" s="5">
        <f>IF(ISBLANK(IMMeter[[#This Row],[PO Number]]),"",IF(ISBLANK(IMMeter[[#This Row],[Recv Date]]),0,1))</f>
        <v>1</v>
      </c>
      <c r="R55" s="54"/>
    </row>
    <row r="56" spans="1:18" ht="15.6" x14ac:dyDescent="0.3">
      <c r="A56" s="5">
        <f>IF(ISBLANK(IMMeter[[#This Row],[OpCo2]]),"",COUNTA(IMMeter[[#This Row],[OpCo2]])-(COUNTA(IMMeter[[#This Row],[OpCo2]])-ROW(IMMeter[[#This Row],[OpCo2]])+1))</f>
        <v>55</v>
      </c>
      <c r="B56" s="5" t="s">
        <v>18</v>
      </c>
      <c r="C56" s="6" t="s">
        <v>2</v>
      </c>
      <c r="D56" s="6" t="s">
        <v>1</v>
      </c>
      <c r="E56" s="5" t="s">
        <v>62</v>
      </c>
      <c r="F56" s="18">
        <v>921001225</v>
      </c>
      <c r="G56" s="19">
        <v>921001704</v>
      </c>
      <c r="H56" s="5">
        <f>IF(AND(ISBLANK(IMMeter[[#This Row],[Beg Ser]]),ISBLANK(IMMeter[[#This Row],[End Ser]])),"",IMMeter[[#This Row],[End Ser]]-IMMeter[[#This Row],[Beg Ser]]+1)</f>
        <v>480</v>
      </c>
      <c r="I56" s="7">
        <v>44677</v>
      </c>
      <c r="J56" s="7"/>
      <c r="K56" s="22">
        <v>80645403</v>
      </c>
      <c r="L56" s="7">
        <v>45425</v>
      </c>
      <c r="M56" s="11">
        <v>115.6</v>
      </c>
      <c r="N56" s="6" t="s">
        <v>144</v>
      </c>
      <c r="O56" s="5">
        <v>99038727</v>
      </c>
      <c r="P56" s="5" t="s">
        <v>62</v>
      </c>
      <c r="Q56" s="5">
        <f>IF(ISBLANK(IMMeter[[#This Row],[PO Number]]),"",IF(ISBLANK(IMMeter[[#This Row],[Recv Date]]),0,1))</f>
        <v>1</v>
      </c>
      <c r="R56" s="54" t="s">
        <v>156</v>
      </c>
    </row>
    <row r="57" spans="1:18" ht="15.6" x14ac:dyDescent="0.3">
      <c r="A57" s="5">
        <f>IF(ISBLANK(IMMeter[[#This Row],[OpCo2]]),"",COUNTA(IMMeter[[#This Row],[OpCo2]])-(COUNTA(IMMeter[[#This Row],[OpCo2]])-ROW(IMMeter[[#This Row],[OpCo2]])+1))</f>
        <v>56</v>
      </c>
      <c r="B57" s="5" t="s">
        <v>18</v>
      </c>
      <c r="C57" s="6" t="s">
        <v>2</v>
      </c>
      <c r="D57" s="6" t="s">
        <v>1</v>
      </c>
      <c r="E57" s="5" t="s">
        <v>62</v>
      </c>
      <c r="F57" s="18">
        <v>921005065</v>
      </c>
      <c r="G57" s="19">
        <v>921012024</v>
      </c>
      <c r="H57" s="5">
        <f>IF(AND(ISBLANK(IMMeter[[#This Row],[Beg Ser]]),ISBLANK(IMMeter[[#This Row],[End Ser]])),"",IMMeter[[#This Row],[End Ser]]-IMMeter[[#This Row],[Beg Ser]]+1)</f>
        <v>6960</v>
      </c>
      <c r="I57" s="7">
        <v>44722</v>
      </c>
      <c r="J57" s="7"/>
      <c r="K57" s="22">
        <v>80848196</v>
      </c>
      <c r="L57" s="7">
        <v>45434</v>
      </c>
      <c r="M57" s="11">
        <v>113.71</v>
      </c>
      <c r="N57" s="6" t="s">
        <v>63</v>
      </c>
      <c r="O57" s="5">
        <v>71055999</v>
      </c>
      <c r="P57" s="5" t="s">
        <v>62</v>
      </c>
      <c r="Q57" s="5">
        <f>IF(ISBLANK(IMMeter[[#This Row],[PO Number]]),"",IF(ISBLANK(IMMeter[[#This Row],[Recv Date]]),0,1))</f>
        <v>1</v>
      </c>
      <c r="R57" s="54"/>
    </row>
    <row r="58" spans="1:18" ht="15.6" x14ac:dyDescent="0.3">
      <c r="A58" s="5">
        <f>IF(ISBLANK(IMMeter[[#This Row],[OpCo2]]),"",COUNTA(IMMeter[[#This Row],[OpCo2]])-(COUNTA(IMMeter[[#This Row],[OpCo2]])-ROW(IMMeter[[#This Row],[OpCo2]])+1))</f>
        <v>57</v>
      </c>
      <c r="B58" s="5" t="s">
        <v>18</v>
      </c>
      <c r="C58" s="6" t="s">
        <v>2</v>
      </c>
      <c r="D58" s="6" t="s">
        <v>1</v>
      </c>
      <c r="E58" s="5" t="s">
        <v>62</v>
      </c>
      <c r="F58" s="18">
        <v>921012025</v>
      </c>
      <c r="G58" s="19">
        <v>921018984</v>
      </c>
      <c r="H58" s="5">
        <f>IF(AND(ISBLANK(IMMeter[[#This Row],[Beg Ser]]),ISBLANK(IMMeter[[#This Row],[End Ser]])),"",IMMeter[[#This Row],[End Ser]]-IMMeter[[#This Row],[Beg Ser]]+1)</f>
        <v>6960</v>
      </c>
      <c r="I58" s="7">
        <v>44722</v>
      </c>
      <c r="J58" s="7"/>
      <c r="K58" s="22">
        <v>80848173</v>
      </c>
      <c r="L58" s="7">
        <v>45434</v>
      </c>
      <c r="M58" s="11">
        <v>113.71</v>
      </c>
      <c r="N58" s="6" t="s">
        <v>63</v>
      </c>
      <c r="O58" s="5">
        <v>71055999</v>
      </c>
      <c r="P58" s="5" t="s">
        <v>62</v>
      </c>
      <c r="Q58" s="5">
        <f>IF(ISBLANK(IMMeter[[#This Row],[PO Number]]),"",IF(ISBLANK(IMMeter[[#This Row],[Recv Date]]),0,1))</f>
        <v>1</v>
      </c>
      <c r="R58" s="54"/>
    </row>
    <row r="59" spans="1:18" ht="15.6" x14ac:dyDescent="0.3">
      <c r="A59" s="5">
        <f>IF(ISBLANK(IMMeter[[#This Row],[OpCo2]]),"",COUNTA(IMMeter[[#This Row],[OpCo2]])-(COUNTA(IMMeter[[#This Row],[OpCo2]])-ROW(IMMeter[[#This Row],[OpCo2]])+1))</f>
        <v>58</v>
      </c>
      <c r="B59" s="5" t="s">
        <v>18</v>
      </c>
      <c r="C59" s="6" t="s">
        <v>2</v>
      </c>
      <c r="D59" s="6" t="s">
        <v>1</v>
      </c>
      <c r="E59" s="5" t="s">
        <v>0</v>
      </c>
      <c r="F59" s="18">
        <v>614542293</v>
      </c>
      <c r="G59" s="19">
        <v>614546036</v>
      </c>
      <c r="H59" s="5">
        <f>IF(AND(ISBLANK(IMMeter[[#This Row],[Beg Ser]]),ISBLANK(IMMeter[[#This Row],[End Ser]])),"",IMMeter[[#This Row],[End Ser]]-IMMeter[[#This Row],[Beg Ser]]+1)</f>
        <v>3744</v>
      </c>
      <c r="I59" s="7">
        <v>44463</v>
      </c>
      <c r="J59" s="7"/>
      <c r="K59" s="22">
        <v>80410140</v>
      </c>
      <c r="L59" s="7">
        <v>45435</v>
      </c>
      <c r="M59" s="11">
        <v>215.16</v>
      </c>
      <c r="N59" s="6" t="s">
        <v>76</v>
      </c>
      <c r="O59" s="5">
        <v>99114989</v>
      </c>
      <c r="P59" s="5" t="s">
        <v>0</v>
      </c>
      <c r="Q59" s="5">
        <f>IF(ISBLANK(IMMeter[[#This Row],[PO Number]]),"",IF(ISBLANK(IMMeter[[#This Row],[Recv Date]]),0,1))</f>
        <v>1</v>
      </c>
      <c r="R59" s="54"/>
    </row>
    <row r="60" spans="1:18" ht="15.6" x14ac:dyDescent="0.3">
      <c r="A60" s="5">
        <f>IF(ISBLANK(IMMeter[[#This Row],[OpCo2]]),"",COUNTA(IMMeter[[#This Row],[OpCo2]])-(COUNTA(IMMeter[[#This Row],[OpCo2]])-ROW(IMMeter[[#This Row],[OpCo2]])+1))</f>
        <v>59</v>
      </c>
      <c r="B60" s="5" t="s">
        <v>18</v>
      </c>
      <c r="C60" s="6" t="s">
        <v>2</v>
      </c>
      <c r="D60" s="6" t="s">
        <v>1</v>
      </c>
      <c r="E60" s="5" t="s">
        <v>128</v>
      </c>
      <c r="F60" s="18">
        <v>621033709</v>
      </c>
      <c r="G60" s="19">
        <v>621034092</v>
      </c>
      <c r="H60" s="5">
        <f>IF(AND(ISBLANK(IMMeter[[#This Row],[Beg Ser]]),ISBLANK(IMMeter[[#This Row],[End Ser]])),"",IMMeter[[#This Row],[End Ser]]-IMMeter[[#This Row],[Beg Ser]]+1)</f>
        <v>384</v>
      </c>
      <c r="I60" s="7">
        <v>44634</v>
      </c>
      <c r="J60" s="7"/>
      <c r="K60" s="22">
        <v>80564679</v>
      </c>
      <c r="L60" s="7">
        <v>45436</v>
      </c>
      <c r="M60" s="11">
        <v>225.98</v>
      </c>
      <c r="N60" s="6" t="s">
        <v>129</v>
      </c>
      <c r="O60" s="5">
        <v>99114944</v>
      </c>
      <c r="P60" s="5" t="s">
        <v>128</v>
      </c>
      <c r="Q60" s="5">
        <f>IF(ISBLANK(IMMeter[[#This Row],[PO Number]]),"",IF(ISBLANK(IMMeter[[#This Row],[Recv Date]]),0,1))</f>
        <v>1</v>
      </c>
      <c r="R60" s="54"/>
    </row>
    <row r="61" spans="1:18" ht="15.6" x14ac:dyDescent="0.3">
      <c r="A61" s="5">
        <f>IF(ISBLANK(IMMeter[[#This Row],[OpCo2]]),"",COUNTA(IMMeter[[#This Row],[OpCo2]])-(COUNTA(IMMeter[[#This Row],[OpCo2]])-ROW(IMMeter[[#This Row],[OpCo2]])+1))</f>
        <v>60</v>
      </c>
      <c r="B61" s="68" t="s">
        <v>18</v>
      </c>
      <c r="C61" s="69" t="s">
        <v>2</v>
      </c>
      <c r="D61" s="69" t="s">
        <v>1</v>
      </c>
      <c r="E61" s="68" t="s">
        <v>0</v>
      </c>
      <c r="F61" s="70">
        <v>621034573</v>
      </c>
      <c r="G61" s="71">
        <v>621035340</v>
      </c>
      <c r="H61" s="68">
        <f>IF(AND(ISBLANK(IMMeter[[#This Row],[Beg Ser]]),ISBLANK(IMMeter[[#This Row],[End Ser]])),"",IMMeter[[#This Row],[End Ser]]-IMMeter[[#This Row],[Beg Ser]]+1)</f>
        <v>768</v>
      </c>
      <c r="I61" s="72">
        <v>45036</v>
      </c>
      <c r="J61" s="72"/>
      <c r="K61" s="73">
        <v>81166390</v>
      </c>
      <c r="L61" s="72">
        <v>45436</v>
      </c>
      <c r="M61" s="74">
        <v>215.16</v>
      </c>
      <c r="N61" s="69" t="s">
        <v>155</v>
      </c>
      <c r="O61" s="68">
        <v>71056011</v>
      </c>
      <c r="P61" s="68" t="s">
        <v>0</v>
      </c>
      <c r="Q61" s="5">
        <f>IF(ISBLANK(IMMeter[[#This Row],[PO Number]]),"",IF(ISBLANK(IMMeter[[#This Row],[Recv Date]]),0,1))</f>
        <v>1</v>
      </c>
      <c r="R61" s="75"/>
    </row>
    <row r="62" spans="1:18" ht="15.6" x14ac:dyDescent="0.3">
      <c r="A62" s="5">
        <f>IF(ISBLANK(IMMeter[[#This Row],[OpCo2]]),"",COUNTA(IMMeter[[#This Row],[OpCo2]])-(COUNTA(IMMeter[[#This Row],[OpCo2]])-ROW(IMMeter[[#This Row],[OpCo2]])+1))</f>
        <v>61</v>
      </c>
      <c r="B62" s="5" t="s">
        <v>18</v>
      </c>
      <c r="C62" s="6" t="s">
        <v>2</v>
      </c>
      <c r="D62" s="6" t="s">
        <v>1</v>
      </c>
      <c r="E62" s="5" t="s">
        <v>62</v>
      </c>
      <c r="F62" s="18">
        <v>921020185</v>
      </c>
      <c r="G62" s="19">
        <v>921022944</v>
      </c>
      <c r="H62" s="5">
        <f>IF(AND(ISBLANK(IMMeter[[#This Row],[Beg Ser]]),ISBLANK(IMMeter[[#This Row],[End Ser]])),"",IMMeter[[#This Row],[End Ser]]-IMMeter[[#This Row],[Beg Ser]]+1)</f>
        <v>2760</v>
      </c>
      <c r="I62" s="7">
        <v>44722</v>
      </c>
      <c r="J62" s="7"/>
      <c r="K62" s="22">
        <v>80848177</v>
      </c>
      <c r="L62" s="7">
        <v>45442</v>
      </c>
      <c r="M62" s="11">
        <v>113.71</v>
      </c>
      <c r="N62" s="6" t="s">
        <v>63</v>
      </c>
      <c r="O62" s="5">
        <v>71055999</v>
      </c>
      <c r="P62" s="5" t="s">
        <v>62</v>
      </c>
      <c r="Q62" s="5">
        <f>IF(ISBLANK(IMMeter[[#This Row],[PO Number]]),"",IF(ISBLANK(IMMeter[[#This Row],[Recv Date]]),0,1))</f>
        <v>1</v>
      </c>
      <c r="R62" s="54"/>
    </row>
    <row r="63" spans="1:18" ht="15.6" x14ac:dyDescent="0.3">
      <c r="A63" s="5">
        <f>IF(ISBLANK(IMMeter[[#This Row],[OpCo2]]),"",COUNTA(IMMeter[[#This Row],[OpCo2]])-(COUNTA(IMMeter[[#This Row],[OpCo2]])-ROW(IMMeter[[#This Row],[OpCo2]])+1))</f>
        <v>62</v>
      </c>
      <c r="B63" s="5" t="s">
        <v>18</v>
      </c>
      <c r="C63" s="6" t="s">
        <v>2</v>
      </c>
      <c r="D63" s="6" t="s">
        <v>1</v>
      </c>
      <c r="E63" s="5" t="s">
        <v>62</v>
      </c>
      <c r="F63" s="18">
        <v>921022945</v>
      </c>
      <c r="G63" s="19">
        <v>921028944</v>
      </c>
      <c r="H63" s="5">
        <f>IF(AND(ISBLANK(IMMeter[[#This Row],[Beg Ser]]),ISBLANK(IMMeter[[#This Row],[End Ser]])),"",IMMeter[[#This Row],[End Ser]]-IMMeter[[#This Row],[Beg Ser]]+1)</f>
        <v>6000</v>
      </c>
      <c r="I63" s="7">
        <v>44634</v>
      </c>
      <c r="J63" s="7"/>
      <c r="K63" s="22">
        <v>80564678</v>
      </c>
      <c r="L63" s="7">
        <v>45442</v>
      </c>
      <c r="M63" s="11">
        <v>113.71</v>
      </c>
      <c r="N63" s="6" t="s">
        <v>63</v>
      </c>
      <c r="O63" s="5">
        <v>71055999</v>
      </c>
      <c r="P63" s="5" t="s">
        <v>62</v>
      </c>
      <c r="Q63" s="5">
        <f>IF(ISBLANK(IMMeter[[#This Row],[PO Number]]),"",IF(ISBLANK(IMMeter[[#This Row],[Recv Date]]),0,1))</f>
        <v>1</v>
      </c>
      <c r="R63" s="67"/>
    </row>
    <row r="64" spans="1:18" ht="15.6" x14ac:dyDescent="0.3">
      <c r="A64" s="5">
        <f>IF(ISBLANK(IMMeter[[#This Row],[OpCo2]]),"",COUNTA(IMMeter[[#This Row],[OpCo2]])-(COUNTA(IMMeter[[#This Row],[OpCo2]])-ROW(IMMeter[[#This Row],[OpCo2]])+1))</f>
        <v>63</v>
      </c>
      <c r="B64" s="5" t="s">
        <v>18</v>
      </c>
      <c r="C64" s="6" t="s">
        <v>2</v>
      </c>
      <c r="D64" s="6" t="s">
        <v>1</v>
      </c>
      <c r="E64" s="5" t="s">
        <v>71</v>
      </c>
      <c r="F64" s="18">
        <v>921001705</v>
      </c>
      <c r="G64" s="19">
        <v>921004464</v>
      </c>
      <c r="H64" s="5">
        <f>IF(AND(ISBLANK(IMMeter[[#This Row],[Beg Ser]]),ISBLANK(IMMeter[[#This Row],[End Ser]])),"",IMMeter[[#This Row],[End Ser]]-IMMeter[[#This Row],[Beg Ser]]+1)</f>
        <v>2760</v>
      </c>
      <c r="I64" s="7">
        <v>44634</v>
      </c>
      <c r="J64" s="7"/>
      <c r="K64" s="22">
        <v>80564679</v>
      </c>
      <c r="L64" s="7">
        <v>45442</v>
      </c>
      <c r="M64" s="11">
        <v>160.69</v>
      </c>
      <c r="N64" s="6" t="s">
        <v>142</v>
      </c>
      <c r="O64" s="5">
        <v>71056000</v>
      </c>
      <c r="P64" s="5" t="s">
        <v>71</v>
      </c>
      <c r="Q64" s="5">
        <f>IF(ISBLANK(IMMeter[[#This Row],[PO Number]]),"",IF(ISBLANK(IMMeter[[#This Row],[Recv Date]]),0,1))</f>
        <v>1</v>
      </c>
      <c r="R64" s="54"/>
    </row>
    <row r="65" spans="1:18" ht="15.6" x14ac:dyDescent="0.3">
      <c r="A65" s="5">
        <f>IF(ISBLANK(IMMeter[[#This Row],[OpCo2]]),"",COUNTA(IMMeter[[#This Row],[OpCo2]])-(COUNTA(IMMeter[[#This Row],[OpCo2]])-ROW(IMMeter[[#This Row],[OpCo2]])+1))</f>
        <v>64</v>
      </c>
      <c r="B65" s="5" t="s">
        <v>18</v>
      </c>
      <c r="C65" s="6" t="s">
        <v>2</v>
      </c>
      <c r="D65" s="6" t="s">
        <v>1</v>
      </c>
      <c r="E65" s="5" t="s">
        <v>89</v>
      </c>
      <c r="F65" s="18">
        <v>914664344</v>
      </c>
      <c r="G65" s="19">
        <v>914664463</v>
      </c>
      <c r="H65" s="5">
        <f>IF(AND(ISBLANK(IMMeter[[#This Row],[Beg Ser]]),ISBLANK(IMMeter[[#This Row],[End Ser]])),"",IMMeter[[#This Row],[End Ser]]-IMMeter[[#This Row],[Beg Ser]]+1)</f>
        <v>120</v>
      </c>
      <c r="I65" s="7">
        <v>44811</v>
      </c>
      <c r="J65" s="7"/>
      <c r="K65" s="22">
        <v>81057564</v>
      </c>
      <c r="L65" s="7">
        <v>45447</v>
      </c>
      <c r="M65" s="11">
        <v>392.11</v>
      </c>
      <c r="N65" s="6" t="s">
        <v>109</v>
      </c>
      <c r="O65" s="5">
        <v>71058288</v>
      </c>
      <c r="P65" s="5" t="s">
        <v>89</v>
      </c>
      <c r="Q65" s="5">
        <f>IF(ISBLANK(IMMeter[[#This Row],[PO Number]]),"",IF(ISBLANK(IMMeter[[#This Row],[Recv Date]]),0,1))</f>
        <v>1</v>
      </c>
      <c r="R65" s="54"/>
    </row>
    <row r="66" spans="1:18" ht="15.6" x14ac:dyDescent="0.3">
      <c r="A66" s="5">
        <f>IF(ISBLANK(IMMeter[[#This Row],[OpCo2]]),"",COUNTA(IMMeter[[#This Row],[OpCo2]])-(COUNTA(IMMeter[[#This Row],[OpCo2]])-ROW(IMMeter[[#This Row],[OpCo2]])+1))</f>
        <v>65</v>
      </c>
      <c r="B66" s="5" t="s">
        <v>18</v>
      </c>
      <c r="C66" s="6" t="s">
        <v>2</v>
      </c>
      <c r="D66" s="6" t="s">
        <v>1</v>
      </c>
      <c r="E66" s="5" t="s">
        <v>62</v>
      </c>
      <c r="F66" s="18">
        <v>921004465</v>
      </c>
      <c r="G66" s="19">
        <v>921005064</v>
      </c>
      <c r="H66" s="5">
        <f>IF(AND(ISBLANK(IMMeter[[#This Row],[Beg Ser]]),ISBLANK(IMMeter[[#This Row],[End Ser]])),"",IMMeter[[#This Row],[End Ser]]-IMMeter[[#This Row],[Beg Ser]]+1)</f>
        <v>600</v>
      </c>
      <c r="I66" s="7">
        <v>44677</v>
      </c>
      <c r="J66" s="7"/>
      <c r="K66" s="22">
        <v>80645403</v>
      </c>
      <c r="L66" s="7">
        <v>45447</v>
      </c>
      <c r="M66" s="11">
        <v>113.71</v>
      </c>
      <c r="N66" s="6" t="s">
        <v>63</v>
      </c>
      <c r="O66" s="5">
        <v>71055999</v>
      </c>
      <c r="P66" s="5" t="s">
        <v>62</v>
      </c>
      <c r="Q66" s="5">
        <f>IF(ISBLANK(IMMeter[[#This Row],[PO Number]]),"",IF(ISBLANK(IMMeter[[#This Row],[Recv Date]]),0,1))</f>
        <v>1</v>
      </c>
      <c r="R66" s="54"/>
    </row>
    <row r="67" spans="1:18" ht="15.6" x14ac:dyDescent="0.3">
      <c r="A67" s="5">
        <f>IF(ISBLANK(IMMeter[[#This Row],[OpCo2]]),"",COUNTA(IMMeter[[#This Row],[OpCo2]])-(COUNTA(IMMeter[[#This Row],[OpCo2]])-ROW(IMMeter[[#This Row],[OpCo2]])+1))</f>
        <v>66</v>
      </c>
      <c r="B67" s="5" t="s">
        <v>18</v>
      </c>
      <c r="C67" s="6" t="s">
        <v>2</v>
      </c>
      <c r="D67" s="6" t="s">
        <v>1</v>
      </c>
      <c r="E67" s="5" t="s">
        <v>122</v>
      </c>
      <c r="F67" s="18">
        <v>921319403</v>
      </c>
      <c r="G67" s="19">
        <v>921319522</v>
      </c>
      <c r="H67" s="5">
        <f>IF(AND(ISBLANK(IMMeter[[#This Row],[Beg Ser]]),ISBLANK(IMMeter[[#This Row],[End Ser]])),"",IMMeter[[#This Row],[End Ser]]-IMMeter[[#This Row],[Beg Ser]]+1)</f>
        <v>120</v>
      </c>
      <c r="I67" s="7">
        <v>44722</v>
      </c>
      <c r="J67" s="7"/>
      <c r="K67" s="22">
        <v>80848192</v>
      </c>
      <c r="L67" s="7">
        <v>45461</v>
      </c>
      <c r="M67" s="11">
        <v>165.73</v>
      </c>
      <c r="N67" s="6" t="s">
        <v>157</v>
      </c>
      <c r="O67" s="5">
        <v>71055991</v>
      </c>
      <c r="P67" s="5" t="s">
        <v>122</v>
      </c>
      <c r="Q67" s="5">
        <f>IF(ISBLANK(IMMeter[[#This Row],[PO Number]]),"",IF(ISBLANK(IMMeter[[#This Row],[Recv Date]]),0,1))</f>
        <v>1</v>
      </c>
      <c r="R67" s="54"/>
    </row>
    <row r="68" spans="1:18" ht="15.6" x14ac:dyDescent="0.3">
      <c r="A68" s="5">
        <f>IF(ISBLANK(IMMeter[[#This Row],[OpCo2]]),"",COUNTA(IMMeter[[#This Row],[OpCo2]])-(COUNTA(IMMeter[[#This Row],[OpCo2]])-ROW(IMMeter[[#This Row],[OpCo2]])+1))</f>
        <v>67</v>
      </c>
      <c r="B68" s="5" t="s">
        <v>18</v>
      </c>
      <c r="C68" s="6" t="s">
        <v>2</v>
      </c>
      <c r="D68" s="6" t="s">
        <v>1</v>
      </c>
      <c r="E68" s="5" t="s">
        <v>128</v>
      </c>
      <c r="F68" s="18">
        <v>621391136</v>
      </c>
      <c r="G68" s="19">
        <v>621391231</v>
      </c>
      <c r="H68" s="5">
        <f>IF(AND(ISBLANK(IMMeter[[#This Row],[Beg Ser]]),ISBLANK(IMMeter[[#This Row],[End Ser]])),"",IMMeter[[#This Row],[End Ser]]-IMMeter[[#This Row],[Beg Ser]]+1)</f>
        <v>96</v>
      </c>
      <c r="I68" s="7">
        <v>44900</v>
      </c>
      <c r="J68" s="7"/>
      <c r="K68" s="22">
        <v>81102545</v>
      </c>
      <c r="L68" s="7">
        <v>45461</v>
      </c>
      <c r="M68" s="11">
        <v>225.98</v>
      </c>
      <c r="N68" s="6" t="s">
        <v>129</v>
      </c>
      <c r="O68" s="5">
        <v>99114944</v>
      </c>
      <c r="P68" s="5" t="s">
        <v>128</v>
      </c>
      <c r="Q68" s="5">
        <f>IF(ISBLANK(IMMeter[[#This Row],[PO Number]]),"",IF(ISBLANK(IMMeter[[#This Row],[Recv Date]]),0,1))</f>
        <v>1</v>
      </c>
      <c r="R68" s="54"/>
    </row>
    <row r="69" spans="1:18" ht="15.6" x14ac:dyDescent="0.3">
      <c r="A69" s="5">
        <f>IF(ISBLANK(IMMeter[[#This Row],[OpCo2]]),"",COUNTA(IMMeter[[#This Row],[OpCo2]])-(COUNTA(IMMeter[[#This Row],[OpCo2]])-ROW(IMMeter[[#This Row],[OpCo2]])+1))</f>
        <v>68</v>
      </c>
      <c r="B69" s="5" t="s">
        <v>18</v>
      </c>
      <c r="C69" s="6" t="s">
        <v>2</v>
      </c>
      <c r="D69" s="6" t="s">
        <v>1</v>
      </c>
      <c r="E69" s="5" t="s">
        <v>147</v>
      </c>
      <c r="F69" s="18">
        <v>621391616</v>
      </c>
      <c r="G69" s="19">
        <v>621391711</v>
      </c>
      <c r="H69" s="5">
        <f>IF(AND(ISBLANK(IMMeter[[#This Row],[Beg Ser]]),ISBLANK(IMMeter[[#This Row],[End Ser]])),"",IMMeter[[#This Row],[End Ser]]-IMMeter[[#This Row],[Beg Ser]]+1)</f>
        <v>96</v>
      </c>
      <c r="I69" s="7">
        <v>45036</v>
      </c>
      <c r="J69" s="7"/>
      <c r="K69" s="22">
        <v>81166390</v>
      </c>
      <c r="L69" s="7">
        <v>45461</v>
      </c>
      <c r="M69" s="11">
        <v>225.98</v>
      </c>
      <c r="N69" s="6" t="s">
        <v>148</v>
      </c>
      <c r="O69" s="5">
        <v>99114990</v>
      </c>
      <c r="P69" s="5" t="s">
        <v>147</v>
      </c>
      <c r="Q69" s="5">
        <f>IF(ISBLANK(IMMeter[[#This Row],[PO Number]]),"",IF(ISBLANK(IMMeter[[#This Row],[Recv Date]]),0,1))</f>
        <v>1</v>
      </c>
      <c r="R69" s="54"/>
    </row>
    <row r="70" spans="1:18" ht="15.6" x14ac:dyDescent="0.3">
      <c r="A70" s="5">
        <f>IF(ISBLANK(IMMeter[[#This Row],[OpCo2]]),"",COUNTA(IMMeter[[#This Row],[OpCo2]])-(COUNTA(IMMeter[[#This Row],[OpCo2]])-ROW(IMMeter[[#This Row],[OpCo2]])+1))</f>
        <v>69</v>
      </c>
      <c r="B70" s="5" t="s">
        <v>18</v>
      </c>
      <c r="C70" s="6" t="s">
        <v>2</v>
      </c>
      <c r="D70" s="6" t="s">
        <v>1</v>
      </c>
      <c r="E70" s="5" t="s">
        <v>122</v>
      </c>
      <c r="F70" s="18">
        <v>921319523</v>
      </c>
      <c r="G70" s="19">
        <v>921319642</v>
      </c>
      <c r="H70" s="5">
        <f>IF(AND(ISBLANK(IMMeter[[#This Row],[Beg Ser]]),ISBLANK(IMMeter[[#This Row],[End Ser]])),"",IMMeter[[#This Row],[End Ser]]-IMMeter[[#This Row],[Beg Ser]]+1)</f>
        <v>120</v>
      </c>
      <c r="I70" s="7">
        <v>44811</v>
      </c>
      <c r="J70" s="7"/>
      <c r="K70" s="22">
        <v>81057564</v>
      </c>
      <c r="L70" s="7">
        <v>45461</v>
      </c>
      <c r="M70" s="11">
        <v>165.73</v>
      </c>
      <c r="N70" s="6" t="s">
        <v>157</v>
      </c>
      <c r="O70" s="5">
        <v>71055991</v>
      </c>
      <c r="P70" s="5" t="s">
        <v>122</v>
      </c>
      <c r="Q70" s="5">
        <f>IF(ISBLANK(IMMeter[[#This Row],[PO Number]]),"",IF(ISBLANK(IMMeter[[#This Row],[Recv Date]]),0,1))</f>
        <v>1</v>
      </c>
      <c r="R70" s="54"/>
    </row>
    <row r="71" spans="1:18" ht="15.6" x14ac:dyDescent="0.3">
      <c r="A71" s="5">
        <f>IF(ISBLANK(IMMeter[[#This Row],[OpCo2]]),"",COUNTA(IMMeter[[#This Row],[OpCo2]])-(COUNTA(IMMeter[[#This Row],[OpCo2]])-ROW(IMMeter[[#This Row],[OpCo2]])+1))</f>
        <v>70</v>
      </c>
      <c r="B71" s="5" t="s">
        <v>18</v>
      </c>
      <c r="C71" s="6" t="s">
        <v>2</v>
      </c>
      <c r="D71" s="6" t="s">
        <v>1</v>
      </c>
      <c r="E71" s="5" t="s">
        <v>128</v>
      </c>
      <c r="F71" s="20">
        <v>621391712</v>
      </c>
      <c r="G71" s="21">
        <v>621391807</v>
      </c>
      <c r="H71" s="5">
        <f>IF(AND(ISBLANK(IMMeter[[#This Row],[Beg Ser]]),ISBLANK(IMMeter[[#This Row],[End Ser]])),"",IMMeter[[#This Row],[End Ser]]-IMMeter[[#This Row],[Beg Ser]]+1)</f>
        <v>96</v>
      </c>
      <c r="I71" s="7">
        <v>45036</v>
      </c>
      <c r="J71" s="7"/>
      <c r="K71" s="22">
        <v>81166390</v>
      </c>
      <c r="L71" s="7">
        <v>45461</v>
      </c>
      <c r="M71" s="11">
        <v>225.98</v>
      </c>
      <c r="N71" s="6" t="s">
        <v>129</v>
      </c>
      <c r="O71" s="5">
        <v>99114944</v>
      </c>
      <c r="P71" s="5" t="s">
        <v>128</v>
      </c>
      <c r="Q71" s="5">
        <f>IF(ISBLANK(IMMeter[[#This Row],[PO Number]]),"",IF(ISBLANK(IMMeter[[#This Row],[Recv Date]]),0,1))</f>
        <v>1</v>
      </c>
      <c r="R71" s="54"/>
    </row>
    <row r="72" spans="1:18" ht="15.6" x14ac:dyDescent="0.3">
      <c r="A72" s="5">
        <f>IF(ISBLANK(IMMeter[[#This Row],[OpCo2]]),"",COUNTA(IMMeter[[#This Row],[OpCo2]])-(COUNTA(IMMeter[[#This Row],[OpCo2]])-ROW(IMMeter[[#This Row],[OpCo2]])+1))</f>
        <v>71</v>
      </c>
      <c r="B72" s="5" t="s">
        <v>18</v>
      </c>
      <c r="C72" s="6" t="s">
        <v>2</v>
      </c>
      <c r="D72" s="6" t="s">
        <v>1</v>
      </c>
      <c r="E72" s="5" t="s">
        <v>65</v>
      </c>
      <c r="F72" s="23">
        <v>921170877</v>
      </c>
      <c r="G72" s="24">
        <v>921170996</v>
      </c>
      <c r="H72" s="5">
        <f>IF(AND(ISBLANK(IMMeter[[#This Row],[Beg Ser]]),ISBLANK(IMMeter[[#This Row],[End Ser]])),"",IMMeter[[#This Row],[End Ser]]-IMMeter[[#This Row],[Beg Ser]]+1)</f>
        <v>120</v>
      </c>
      <c r="I72" s="7">
        <v>44900</v>
      </c>
      <c r="J72" s="7"/>
      <c r="K72" s="22">
        <v>81102545</v>
      </c>
      <c r="L72" s="7">
        <v>45469</v>
      </c>
      <c r="M72" s="11">
        <v>403.88</v>
      </c>
      <c r="N72" s="6" t="s">
        <v>70</v>
      </c>
      <c r="O72" s="5">
        <v>71058289</v>
      </c>
      <c r="P72" s="5" t="s">
        <v>65</v>
      </c>
      <c r="Q72" s="5">
        <f>IF(ISBLANK(IMMeter[[#This Row],[PO Number]]),"",IF(ISBLANK(IMMeter[[#This Row],[Recv Date]]),0,1))</f>
        <v>1</v>
      </c>
      <c r="R72" s="54" t="s">
        <v>170</v>
      </c>
    </row>
    <row r="73" spans="1:18" ht="15.6" x14ac:dyDescent="0.3">
      <c r="A73" s="5">
        <f>IF(ISBLANK(IMMeter[[#This Row],[OpCo2]]),"",COUNTA(IMMeter[[#This Row],[OpCo2]])-(COUNTA(IMMeter[[#This Row],[OpCo2]])-ROW(IMMeter[[#This Row],[OpCo2]])+1))</f>
        <v>72</v>
      </c>
      <c r="B73" s="5" t="s">
        <v>18</v>
      </c>
      <c r="C73" s="6" t="s">
        <v>2</v>
      </c>
      <c r="D73" s="6" t="s">
        <v>1</v>
      </c>
      <c r="E73" s="5" t="s">
        <v>71</v>
      </c>
      <c r="F73" s="23">
        <v>921116790</v>
      </c>
      <c r="G73" s="24">
        <v>921119549</v>
      </c>
      <c r="H73" s="5">
        <f>IF(AND(ISBLANK(IMMeter[[#This Row],[Beg Ser]]),ISBLANK(IMMeter[[#This Row],[End Ser]])),"",IMMeter[[#This Row],[End Ser]]-IMMeter[[#This Row],[Beg Ser]]+1)</f>
        <v>2760</v>
      </c>
      <c r="I73" s="7">
        <v>44634</v>
      </c>
      <c r="J73" s="7"/>
      <c r="K73" s="22">
        <v>80564675</v>
      </c>
      <c r="L73" s="7">
        <v>45462</v>
      </c>
      <c r="M73" s="11">
        <v>160.69</v>
      </c>
      <c r="N73" s="6" t="s">
        <v>142</v>
      </c>
      <c r="O73" s="5">
        <v>71056000</v>
      </c>
      <c r="P73" s="5" t="s">
        <v>71</v>
      </c>
      <c r="Q73" s="5">
        <f>IF(ISBLANK(IMMeter[[#This Row],[PO Number]]),"",IF(ISBLANK(IMMeter[[#This Row],[Recv Date]]),0,1))</f>
        <v>1</v>
      </c>
      <c r="R73" s="54"/>
    </row>
    <row r="74" spans="1:18" ht="15.6" x14ac:dyDescent="0.3">
      <c r="A74" s="5">
        <f>IF(ISBLANK(IMMeter[[#This Row],[OpCo2]]),"",COUNTA(IMMeter[[#This Row],[OpCo2]])-(COUNTA(IMMeter[[#This Row],[OpCo2]])-ROW(IMMeter[[#This Row],[OpCo2]])+1))</f>
        <v>73</v>
      </c>
      <c r="B74" s="5" t="s">
        <v>18</v>
      </c>
      <c r="C74" s="6" t="s">
        <v>2</v>
      </c>
      <c r="D74" s="6" t="s">
        <v>1</v>
      </c>
      <c r="E74" s="5" t="s">
        <v>62</v>
      </c>
      <c r="F74" s="23">
        <v>921301283</v>
      </c>
      <c r="G74" s="24">
        <v>921308242</v>
      </c>
      <c r="H74" s="5">
        <f>IF(AND(ISBLANK(IMMeter[[#This Row],[Beg Ser]]),ISBLANK(IMMeter[[#This Row],[End Ser]])),"",IMMeter[[#This Row],[End Ser]]-IMMeter[[#This Row],[Beg Ser]]+1)</f>
        <v>6960</v>
      </c>
      <c r="I74" s="7">
        <v>44722</v>
      </c>
      <c r="J74" s="7"/>
      <c r="K74" s="22">
        <v>80848175</v>
      </c>
      <c r="L74" s="7">
        <v>45462</v>
      </c>
      <c r="M74" s="11">
        <v>113.71</v>
      </c>
      <c r="N74" s="6" t="s">
        <v>63</v>
      </c>
      <c r="O74" s="5">
        <v>71055999</v>
      </c>
      <c r="P74" s="5" t="s">
        <v>62</v>
      </c>
      <c r="Q74" s="5">
        <f>IF(ISBLANK(IMMeter[[#This Row],[PO Number]]),"",IF(ISBLANK(IMMeter[[#This Row],[Recv Date]]),0,1))</f>
        <v>1</v>
      </c>
      <c r="R74" s="54"/>
    </row>
    <row r="75" spans="1:18" ht="15.6" x14ac:dyDescent="0.3">
      <c r="A75" s="5">
        <f>IF(ISBLANK(IMMeter[[#This Row],[OpCo2]]),"",COUNTA(IMMeter[[#This Row],[OpCo2]])-(COUNTA(IMMeter[[#This Row],[OpCo2]])-ROW(IMMeter[[#This Row],[OpCo2]])+1))</f>
        <v>74</v>
      </c>
      <c r="B75" s="5" t="s">
        <v>18</v>
      </c>
      <c r="C75" s="6" t="s">
        <v>2</v>
      </c>
      <c r="D75" s="6" t="s">
        <v>1</v>
      </c>
      <c r="E75" s="5" t="s">
        <v>65</v>
      </c>
      <c r="F75" s="23">
        <v>914679512</v>
      </c>
      <c r="G75" s="24">
        <v>914679631</v>
      </c>
      <c r="H75" s="5">
        <f>IF(AND(ISBLANK(IMMeter[[#This Row],[Beg Ser]]),ISBLANK(IMMeter[[#This Row],[End Ser]])),"",IMMeter[[#This Row],[End Ser]]-IMMeter[[#This Row],[Beg Ser]]+1)</f>
        <v>120</v>
      </c>
      <c r="I75" s="7">
        <v>44811</v>
      </c>
      <c r="J75" s="7"/>
      <c r="K75" s="22">
        <v>81057564</v>
      </c>
      <c r="L75" s="7">
        <v>45469</v>
      </c>
      <c r="M75" s="11">
        <v>403.88</v>
      </c>
      <c r="N75" s="6" t="s">
        <v>70</v>
      </c>
      <c r="O75" s="5">
        <v>71058289</v>
      </c>
      <c r="P75" s="5" t="s">
        <v>65</v>
      </c>
      <c r="Q75" s="5">
        <f>IF(ISBLANK(IMMeter[[#This Row],[PO Number]]),"",IF(ISBLANK(IMMeter[[#This Row],[Recv Date]]),0,1))</f>
        <v>1</v>
      </c>
      <c r="R75" s="54"/>
    </row>
    <row r="76" spans="1:18" ht="15.6" x14ac:dyDescent="0.3">
      <c r="A76" s="5">
        <f>IF(ISBLANK(IMMeter[[#This Row],[OpCo2]]),"",COUNTA(IMMeter[[#This Row],[OpCo2]])-(COUNTA(IMMeter[[#This Row],[OpCo2]])-ROW(IMMeter[[#This Row],[OpCo2]])+1))</f>
        <v>75</v>
      </c>
      <c r="B76" s="5" t="s">
        <v>18</v>
      </c>
      <c r="C76" s="6" t="s">
        <v>2</v>
      </c>
      <c r="D76" s="6" t="s">
        <v>1</v>
      </c>
      <c r="E76" s="5" t="s">
        <v>122</v>
      </c>
      <c r="F76" s="23">
        <v>921336427</v>
      </c>
      <c r="G76" s="24">
        <v>921336546</v>
      </c>
      <c r="H76" s="5">
        <f>IF(AND(ISBLANK(IMMeter[[#This Row],[Beg Ser]]),ISBLANK(IMMeter[[#This Row],[End Ser]])),"",IMMeter[[#This Row],[End Ser]]-IMMeter[[#This Row],[Beg Ser]]+1)</f>
        <v>120</v>
      </c>
      <c r="I76" s="7">
        <v>44900</v>
      </c>
      <c r="J76" s="7"/>
      <c r="K76" s="22">
        <v>81102545</v>
      </c>
      <c r="L76" s="7">
        <v>45469</v>
      </c>
      <c r="M76" s="11">
        <v>165.73</v>
      </c>
      <c r="N76" s="6" t="s">
        <v>157</v>
      </c>
      <c r="O76" s="5">
        <v>71055991</v>
      </c>
      <c r="P76" s="5" t="s">
        <v>122</v>
      </c>
      <c r="Q76" s="5">
        <f>IF(ISBLANK(IMMeter[[#This Row],[PO Number]]),"",IF(ISBLANK(IMMeter[[#This Row],[Recv Date]]),0,1))</f>
        <v>1</v>
      </c>
      <c r="R76" s="54"/>
    </row>
    <row r="77" spans="1:18" ht="15.6" x14ac:dyDescent="0.3">
      <c r="A77" s="5">
        <f>IF(ISBLANK(IMMeter[[#This Row],[OpCo2]]),"",COUNTA(IMMeter[[#This Row],[OpCo2]])-(COUNTA(IMMeter[[#This Row],[OpCo2]])-ROW(IMMeter[[#This Row],[OpCo2]])+1))</f>
        <v>76</v>
      </c>
      <c r="B77" s="5" t="s">
        <v>18</v>
      </c>
      <c r="C77" s="6" t="s">
        <v>2</v>
      </c>
      <c r="D77" s="6" t="s">
        <v>1</v>
      </c>
      <c r="E77" s="5" t="s">
        <v>62</v>
      </c>
      <c r="F77" s="23">
        <v>921308243</v>
      </c>
      <c r="G77" s="24">
        <v>921315202</v>
      </c>
      <c r="H77" s="5">
        <f>IF(AND(ISBLANK(IMMeter[[#This Row],[Beg Ser]]),ISBLANK(IMMeter[[#This Row],[End Ser]])),"",IMMeter[[#This Row],[End Ser]]-IMMeter[[#This Row],[Beg Ser]]+1)</f>
        <v>6960</v>
      </c>
      <c r="I77" s="7">
        <v>44722</v>
      </c>
      <c r="J77" s="7"/>
      <c r="K77" s="22">
        <v>80848179</v>
      </c>
      <c r="L77" s="7">
        <v>45469</v>
      </c>
      <c r="M77" s="11">
        <v>113.71</v>
      </c>
      <c r="N77" s="6" t="s">
        <v>63</v>
      </c>
      <c r="O77" s="5">
        <v>71055999</v>
      </c>
      <c r="P77" s="5" t="s">
        <v>62</v>
      </c>
      <c r="Q77" s="5">
        <f>IF(ISBLANK(IMMeter[[#This Row],[PO Number]]),"",IF(ISBLANK(IMMeter[[#This Row],[Recv Date]]),0,1))</f>
        <v>1</v>
      </c>
      <c r="R77" s="54"/>
    </row>
    <row r="78" spans="1:18" ht="15.6" x14ac:dyDescent="0.3">
      <c r="A78" s="5">
        <f>IF(ISBLANK(IMMeter[[#This Row],[OpCo2]]),"",COUNTA(IMMeter[[#This Row],[OpCo2]])-(COUNTA(IMMeter[[#This Row],[OpCo2]])-ROW(IMMeter[[#This Row],[OpCo2]])+1))</f>
        <v>77</v>
      </c>
      <c r="B78" s="5" t="s">
        <v>18</v>
      </c>
      <c r="C78" s="6" t="s">
        <v>2</v>
      </c>
      <c r="D78" s="6" t="s">
        <v>1</v>
      </c>
      <c r="E78" s="5" t="s">
        <v>85</v>
      </c>
      <c r="F78" s="23">
        <v>621391232</v>
      </c>
      <c r="G78" s="24">
        <v>621391615</v>
      </c>
      <c r="H78" s="5">
        <f>IF(AND(ISBLANK(IMMeter[[#This Row],[Beg Ser]]),ISBLANK(IMMeter[[#This Row],[End Ser]])),"",IMMeter[[#This Row],[End Ser]]-IMMeter[[#This Row],[Beg Ser]]+1)</f>
        <v>384</v>
      </c>
      <c r="I78" s="7">
        <v>45036</v>
      </c>
      <c r="J78" s="7"/>
      <c r="K78" s="22">
        <v>81166391</v>
      </c>
      <c r="L78" s="7">
        <v>45469</v>
      </c>
      <c r="M78" s="11">
        <v>225.98</v>
      </c>
      <c r="N78" s="6" t="s">
        <v>86</v>
      </c>
      <c r="O78" s="5">
        <v>99114988</v>
      </c>
      <c r="P78" s="5" t="s">
        <v>85</v>
      </c>
      <c r="Q78" s="5">
        <f>IF(ISBLANK(IMMeter[[#This Row],[PO Number]]),"",IF(ISBLANK(IMMeter[[#This Row],[Recv Date]]),0,1))</f>
        <v>1</v>
      </c>
      <c r="R78" s="54"/>
    </row>
    <row r="79" spans="1:18" ht="15.6" x14ac:dyDescent="0.3">
      <c r="A79" s="5">
        <f>IF(ISBLANK(IMMeter[[#This Row],[OpCo2]]),"",COUNTA(IMMeter[[#This Row],[OpCo2]])-(COUNTA(IMMeter[[#This Row],[OpCo2]])-ROW(IMMeter[[#This Row],[OpCo2]])+1))</f>
        <v>78</v>
      </c>
      <c r="B79" s="5" t="s">
        <v>18</v>
      </c>
      <c r="C79" s="6" t="s">
        <v>2</v>
      </c>
      <c r="D79" s="6" t="s">
        <v>1</v>
      </c>
      <c r="E79" s="5" t="s">
        <v>62</v>
      </c>
      <c r="F79" s="23">
        <v>921437253</v>
      </c>
      <c r="G79" s="24">
        <v>921444212</v>
      </c>
      <c r="H79" s="5">
        <f>IF(AND(ISBLANK(IMMeter[[#This Row],[Beg Ser]]),ISBLANK(IMMeter[[#This Row],[End Ser]])),"",IMMeter[[#This Row],[End Ser]]-IMMeter[[#This Row],[Beg Ser]]+1)</f>
        <v>6960</v>
      </c>
      <c r="I79" s="7">
        <v>44722</v>
      </c>
      <c r="J79" s="7"/>
      <c r="K79" s="22">
        <v>80848188</v>
      </c>
      <c r="L79" s="7">
        <v>45469</v>
      </c>
      <c r="M79" s="11">
        <v>113.71</v>
      </c>
      <c r="N79" s="6" t="s">
        <v>63</v>
      </c>
      <c r="O79" s="5">
        <v>71055999</v>
      </c>
      <c r="P79" s="5" t="s">
        <v>62</v>
      </c>
      <c r="Q79" s="5">
        <f>IF(ISBLANK(IMMeter[[#This Row],[PO Number]]),"",IF(ISBLANK(IMMeter[[#This Row],[Recv Date]]),0,1))</f>
        <v>1</v>
      </c>
      <c r="R79" s="54"/>
    </row>
    <row r="80" spans="1:18" ht="15.6" x14ac:dyDescent="0.3">
      <c r="A80" s="5">
        <f>IF(ISBLANK(IMMeter[[#This Row],[OpCo2]]),"",COUNTA(IMMeter[[#This Row],[OpCo2]])-(COUNTA(IMMeter[[#This Row],[OpCo2]])-ROW(IMMeter[[#This Row],[OpCo2]])+1))</f>
        <v>79</v>
      </c>
      <c r="B80" s="5" t="s">
        <v>18</v>
      </c>
      <c r="C80" s="6" t="s">
        <v>2</v>
      </c>
      <c r="D80" s="6" t="s">
        <v>1</v>
      </c>
      <c r="E80" s="5" t="s">
        <v>71</v>
      </c>
      <c r="F80" s="23">
        <v>921119550</v>
      </c>
      <c r="G80" s="24">
        <v>921120509</v>
      </c>
      <c r="H80" s="5">
        <f>IF(AND(ISBLANK(IMMeter[[#This Row],[Beg Ser]]),ISBLANK(IMMeter[[#This Row],[End Ser]])),"",IMMeter[[#This Row],[End Ser]]-IMMeter[[#This Row],[Beg Ser]]+1)</f>
        <v>960</v>
      </c>
      <c r="I80" s="7">
        <v>44635</v>
      </c>
      <c r="J80" s="7"/>
      <c r="K80" s="22">
        <v>80565266</v>
      </c>
      <c r="L80" s="7">
        <v>45469</v>
      </c>
      <c r="M80" s="11">
        <v>160.69</v>
      </c>
      <c r="N80" s="6" t="s">
        <v>142</v>
      </c>
      <c r="O80" s="5">
        <v>71056000</v>
      </c>
      <c r="P80" s="5" t="s">
        <v>71</v>
      </c>
      <c r="Q80" s="5">
        <f>IF(ISBLANK(IMMeter[[#This Row],[PO Number]]),"",IF(ISBLANK(IMMeter[[#This Row],[Recv Date]]),0,1))</f>
        <v>1</v>
      </c>
      <c r="R80" s="54"/>
    </row>
    <row r="81" spans="1:18" ht="15.6" x14ac:dyDescent="0.3">
      <c r="A81" s="5">
        <f>IF(ISBLANK(IMMeter[[#This Row],[OpCo2]]),"",COUNTA(IMMeter[[#This Row],[OpCo2]])-(COUNTA(IMMeter[[#This Row],[OpCo2]])-ROW(IMMeter[[#This Row],[OpCo2]])+1))</f>
        <v>80</v>
      </c>
      <c r="B81" s="5" t="s">
        <v>18</v>
      </c>
      <c r="C81" s="6" t="s">
        <v>2</v>
      </c>
      <c r="D81" s="6" t="s">
        <v>1</v>
      </c>
      <c r="E81" s="5" t="s">
        <v>71</v>
      </c>
      <c r="F81" s="23">
        <v>921120510</v>
      </c>
      <c r="G81" s="24">
        <v>921122429</v>
      </c>
      <c r="H81" s="5">
        <f>IF(AND(ISBLANK(IMMeter[[#This Row],[Beg Ser]]),ISBLANK(IMMeter[[#This Row],[End Ser]])),"",IMMeter[[#This Row],[End Ser]]-IMMeter[[#This Row],[Beg Ser]]+1)</f>
        <v>1920</v>
      </c>
      <c r="I81" s="7">
        <v>44663</v>
      </c>
      <c r="J81" s="7"/>
      <c r="K81" s="22">
        <v>80610027</v>
      </c>
      <c r="L81" s="7">
        <v>45469</v>
      </c>
      <c r="M81" s="11">
        <v>160.69</v>
      </c>
      <c r="N81" s="6" t="s">
        <v>142</v>
      </c>
      <c r="O81" s="5">
        <v>71056000</v>
      </c>
      <c r="P81" s="5" t="s">
        <v>71</v>
      </c>
      <c r="Q81" s="5">
        <f>IF(ISBLANK(IMMeter[[#This Row],[PO Number]]),"",IF(ISBLANK(IMMeter[[#This Row],[Recv Date]]),0,1))</f>
        <v>1</v>
      </c>
      <c r="R81" s="54"/>
    </row>
    <row r="82" spans="1:18" ht="15.6" x14ac:dyDescent="0.3">
      <c r="A82" s="5">
        <f>IF(ISBLANK(IMMeter[[#This Row],[OpCo2]]),"",COUNTA(IMMeter[[#This Row],[OpCo2]])-(COUNTA(IMMeter[[#This Row],[OpCo2]])-ROW(IMMeter[[#This Row],[OpCo2]])+1))</f>
        <v>81</v>
      </c>
      <c r="B82" s="5" t="s">
        <v>18</v>
      </c>
      <c r="C82" s="6" t="s">
        <v>2</v>
      </c>
      <c r="D82" s="6" t="s">
        <v>1</v>
      </c>
      <c r="E82" s="5" t="s">
        <v>62</v>
      </c>
      <c r="F82" s="23">
        <v>921317963</v>
      </c>
      <c r="G82" s="24">
        <v>921319402</v>
      </c>
      <c r="H82" s="5">
        <f>IF(AND(ISBLANK(IMMeter[[#This Row],[Beg Ser]]),ISBLANK(IMMeter[[#This Row],[End Ser]])),"",IMMeter[[#This Row],[End Ser]]-IMMeter[[#This Row],[Beg Ser]]+1)</f>
        <v>1440</v>
      </c>
      <c r="I82" s="7">
        <v>44811</v>
      </c>
      <c r="J82" s="7"/>
      <c r="K82" s="22">
        <v>81057450</v>
      </c>
      <c r="L82" s="7">
        <v>45469</v>
      </c>
      <c r="M82" s="11">
        <v>113.71</v>
      </c>
      <c r="N82" s="6" t="s">
        <v>63</v>
      </c>
      <c r="O82" s="5">
        <v>71055999</v>
      </c>
      <c r="P82" s="5" t="s">
        <v>62</v>
      </c>
      <c r="Q82" s="5">
        <f>IF(ISBLANK(IMMeter[[#This Row],[PO Number]]),"",IF(ISBLANK(IMMeter[[#This Row],[Recv Date]]),0,1))</f>
        <v>1</v>
      </c>
      <c r="R82" s="54"/>
    </row>
    <row r="83" spans="1:18" ht="15.6" x14ac:dyDescent="0.3">
      <c r="A83" s="5">
        <f>IF(ISBLANK(IMMeter[[#This Row],[OpCo2]]),"",COUNTA(IMMeter[[#This Row],[OpCo2]])-(COUNTA(IMMeter[[#This Row],[OpCo2]])-ROW(IMMeter[[#This Row],[OpCo2]])+1))</f>
        <v>82</v>
      </c>
      <c r="B83" s="5" t="s">
        <v>18</v>
      </c>
      <c r="C83" s="6" t="s">
        <v>2</v>
      </c>
      <c r="D83" s="6" t="s">
        <v>1</v>
      </c>
      <c r="E83" s="5" t="s">
        <v>62</v>
      </c>
      <c r="F83" s="23">
        <v>921434493</v>
      </c>
      <c r="G83" s="24">
        <v>921437252</v>
      </c>
      <c r="H83" s="5">
        <f>IF(AND(ISBLANK(IMMeter[[#This Row],[Beg Ser]]),ISBLANK(IMMeter[[#This Row],[End Ser]])),"",IMMeter[[#This Row],[End Ser]]-IMMeter[[#This Row],[Beg Ser]]+1)</f>
        <v>2760</v>
      </c>
      <c r="I83" s="7">
        <v>44722</v>
      </c>
      <c r="J83" s="7"/>
      <c r="K83" s="22">
        <v>80848189</v>
      </c>
      <c r="L83" s="7">
        <v>45469</v>
      </c>
      <c r="M83" s="11">
        <v>113.71</v>
      </c>
      <c r="N83" s="6" t="s">
        <v>63</v>
      </c>
      <c r="O83" s="5">
        <v>71055999</v>
      </c>
      <c r="P83" s="5" t="s">
        <v>62</v>
      </c>
      <c r="Q83" s="5">
        <f>IF(ISBLANK(IMMeter[[#This Row],[PO Number]]),"",IF(ISBLANK(IMMeter[[#This Row],[Recv Date]]),0,1))</f>
        <v>1</v>
      </c>
      <c r="R83" s="54"/>
    </row>
    <row r="84" spans="1:18" ht="15.6" x14ac:dyDescent="0.3">
      <c r="A84" s="5">
        <f>IF(ISBLANK(IMMeter[[#This Row],[OpCo2]]),"",COUNTA(IMMeter[[#This Row],[OpCo2]])-(COUNTA(IMMeter[[#This Row],[OpCo2]])-ROW(IMMeter[[#This Row],[OpCo2]])+1))</f>
        <v>83</v>
      </c>
      <c r="B84" s="5" t="s">
        <v>18</v>
      </c>
      <c r="C84" s="6" t="s">
        <v>2</v>
      </c>
      <c r="D84" s="6" t="s">
        <v>1</v>
      </c>
      <c r="E84" s="5" t="s">
        <v>62</v>
      </c>
      <c r="F84" s="23">
        <v>921315203</v>
      </c>
      <c r="G84" s="24">
        <v>921317962</v>
      </c>
      <c r="H84" s="5">
        <f>IF(AND(ISBLANK(IMMeter[[#This Row],[Beg Ser]]),ISBLANK(IMMeter[[#This Row],[End Ser]])),"",IMMeter[[#This Row],[End Ser]]-IMMeter[[#This Row],[Beg Ser]]+1)</f>
        <v>2760</v>
      </c>
      <c r="I84" s="7">
        <v>44722</v>
      </c>
      <c r="J84" s="7"/>
      <c r="K84" s="22">
        <v>80848186</v>
      </c>
      <c r="L84" s="7">
        <v>45469</v>
      </c>
      <c r="M84" s="11">
        <v>113.71</v>
      </c>
      <c r="N84" s="6" t="s">
        <v>63</v>
      </c>
      <c r="O84" s="5">
        <v>71055999</v>
      </c>
      <c r="P84" s="5" t="s">
        <v>62</v>
      </c>
      <c r="Q84" s="5">
        <f>IF(ISBLANK(IMMeter[[#This Row],[PO Number]]),"",IF(ISBLANK(IMMeter[[#This Row],[Recv Date]]),0,1))</f>
        <v>1</v>
      </c>
      <c r="R84" s="54"/>
    </row>
    <row r="85" spans="1:18" ht="15.6" x14ac:dyDescent="0.3">
      <c r="A85" s="5">
        <f>IF(ISBLANK(IMMeter[[#This Row],[OpCo2]]),"",COUNTA(IMMeter[[#This Row],[OpCo2]])-(COUNTA(IMMeter[[#This Row],[OpCo2]])-ROW(IMMeter[[#This Row],[OpCo2]])+1))</f>
        <v>84</v>
      </c>
      <c r="B85" s="5" t="s">
        <v>18</v>
      </c>
      <c r="C85" s="6" t="s">
        <v>2</v>
      </c>
      <c r="D85" s="6" t="s">
        <v>1</v>
      </c>
      <c r="E85" s="5" t="s">
        <v>147</v>
      </c>
      <c r="F85" s="23">
        <v>621479787</v>
      </c>
      <c r="G85" s="24">
        <v>621479978</v>
      </c>
      <c r="H85" s="5">
        <f>IF(AND(ISBLANK(IMMeter[[#This Row],[Beg Ser]]),ISBLANK(IMMeter[[#This Row],[End Ser]])),"",IMMeter[[#This Row],[End Ser]]-IMMeter[[#This Row],[Beg Ser]]+1)</f>
        <v>192</v>
      </c>
      <c r="I85" s="7">
        <v>44663</v>
      </c>
      <c r="J85" s="7"/>
      <c r="K85" s="22">
        <v>80610030</v>
      </c>
      <c r="L85" s="7">
        <v>45469</v>
      </c>
      <c r="M85" s="11">
        <v>225.98</v>
      </c>
      <c r="N85" s="6" t="s">
        <v>148</v>
      </c>
      <c r="O85" s="6" t="s">
        <v>158</v>
      </c>
      <c r="P85" s="5" t="s">
        <v>147</v>
      </c>
      <c r="Q85" s="5">
        <f>IF(ISBLANK(IMMeter[[#This Row],[PO Number]]),"",IF(ISBLANK(IMMeter[[#This Row],[Recv Date]]),0,1))</f>
        <v>1</v>
      </c>
      <c r="R85" s="54"/>
    </row>
    <row r="86" spans="1:18" ht="15.6" x14ac:dyDescent="0.3">
      <c r="A86" s="5">
        <f>IF(ISBLANK(IMMeter[[#This Row],[OpCo2]]),"",COUNTA(IMMeter[[#This Row],[OpCo2]])-(COUNTA(IMMeter[[#This Row],[OpCo2]])-ROW(IMMeter[[#This Row],[OpCo2]])+1))</f>
        <v>85</v>
      </c>
      <c r="B86" s="5" t="s">
        <v>18</v>
      </c>
      <c r="C86" s="6" t="s">
        <v>2</v>
      </c>
      <c r="D86" s="6" t="s">
        <v>1</v>
      </c>
      <c r="E86" s="5" t="s">
        <v>147</v>
      </c>
      <c r="F86" s="23">
        <v>621479979</v>
      </c>
      <c r="G86" s="24">
        <v>621480074</v>
      </c>
      <c r="H86" s="5">
        <f>IF(AND(ISBLANK(IMMeter[[#This Row],[Beg Ser]]),ISBLANK(IMMeter[[#This Row],[End Ser]])),"",IMMeter[[#This Row],[End Ser]]-IMMeter[[#This Row],[Beg Ser]]+1)</f>
        <v>96</v>
      </c>
      <c r="I86" s="7">
        <v>44900</v>
      </c>
      <c r="J86" s="7"/>
      <c r="K86" s="22">
        <v>81102545</v>
      </c>
      <c r="L86" s="7">
        <v>45469</v>
      </c>
      <c r="M86" s="11">
        <v>225.98</v>
      </c>
      <c r="N86" s="6" t="s">
        <v>148</v>
      </c>
      <c r="O86" s="5" t="s">
        <v>158</v>
      </c>
      <c r="P86" s="5" t="s">
        <v>147</v>
      </c>
      <c r="Q86" s="5">
        <f>IF(ISBLANK(IMMeter[[#This Row],[PO Number]]),"",IF(ISBLANK(IMMeter[[#This Row],[Recv Date]]),0,1))</f>
        <v>1</v>
      </c>
      <c r="R86" s="54"/>
    </row>
    <row r="87" spans="1:18" ht="15.6" x14ac:dyDescent="0.3">
      <c r="A87" s="5">
        <f>IF(ISBLANK(IMMeter[[#This Row],[OpCo2]]),"",COUNTA(IMMeter[[#This Row],[OpCo2]])-(COUNTA(IMMeter[[#This Row],[OpCo2]])-ROW(IMMeter[[#This Row],[OpCo2]])+1))</f>
        <v>86</v>
      </c>
      <c r="B87" s="5" t="s">
        <v>18</v>
      </c>
      <c r="C87" s="6" t="s">
        <v>2</v>
      </c>
      <c r="D87" s="6" t="s">
        <v>1</v>
      </c>
      <c r="E87" s="5" t="s">
        <v>85</v>
      </c>
      <c r="F87" s="23">
        <v>621479019</v>
      </c>
      <c r="G87" s="24">
        <v>621479786</v>
      </c>
      <c r="H87" s="5">
        <f>IF(AND(ISBLANK(IMMeter[[#This Row],[Beg Ser]]),ISBLANK(IMMeter[[#This Row],[End Ser]])),"",IMMeter[[#This Row],[End Ser]]-IMMeter[[#This Row],[Beg Ser]]+1)</f>
        <v>768</v>
      </c>
      <c r="I87" s="7">
        <v>44663</v>
      </c>
      <c r="J87" s="7"/>
      <c r="K87" s="22">
        <v>80610030</v>
      </c>
      <c r="L87" s="7">
        <v>45469</v>
      </c>
      <c r="M87" s="11">
        <v>225.98</v>
      </c>
      <c r="N87" s="6" t="s">
        <v>86</v>
      </c>
      <c r="O87" s="5">
        <v>99114988</v>
      </c>
      <c r="P87" s="5" t="s">
        <v>85</v>
      </c>
      <c r="Q87" s="5">
        <f>IF(ISBLANK(IMMeter[[#This Row],[PO Number]]),"",IF(ISBLANK(IMMeter[[#This Row],[Recv Date]]),0,1))</f>
        <v>1</v>
      </c>
      <c r="R87" s="54"/>
    </row>
    <row r="88" spans="1:18" ht="15.6" x14ac:dyDescent="0.3">
      <c r="A88" s="5">
        <f>IF(ISBLANK(IMMeter[[#This Row],[OpCo2]]),"",COUNTA(IMMeter[[#This Row],[OpCo2]])-(COUNTA(IMMeter[[#This Row],[OpCo2]])-ROW(IMMeter[[#This Row],[OpCo2]])+1))</f>
        <v>87</v>
      </c>
      <c r="B88" s="5" t="s">
        <v>18</v>
      </c>
      <c r="C88" s="6" t="s">
        <v>2</v>
      </c>
      <c r="D88" s="6" t="s">
        <v>1</v>
      </c>
      <c r="E88" s="31" t="s">
        <v>122</v>
      </c>
      <c r="F88" s="23">
        <v>921122483</v>
      </c>
      <c r="G88" s="55">
        <v>921122722</v>
      </c>
      <c r="H88" s="5">
        <f>IF(AND(ISBLANK(IMMeter[[#This Row],[Beg Ser]]),ISBLANK(IMMeter[[#This Row],[End Ser]])),"",IMMeter[[#This Row],[End Ser]]-IMMeter[[#This Row],[Beg Ser]]+1)</f>
        <v>240</v>
      </c>
      <c r="I88" s="7">
        <v>44677</v>
      </c>
      <c r="J88" s="7"/>
      <c r="K88" s="22">
        <v>80645403</v>
      </c>
      <c r="L88" s="7">
        <v>45475</v>
      </c>
      <c r="M88" s="11">
        <v>165.73</v>
      </c>
      <c r="N88" s="6" t="s">
        <v>157</v>
      </c>
      <c r="O88" s="5">
        <v>71055991</v>
      </c>
      <c r="P88" s="5" t="s">
        <v>122</v>
      </c>
      <c r="Q88" s="5">
        <f>IF(ISBLANK(IMMeter[[#This Row],[PO Number]]),"",IF(ISBLANK(IMMeter[[#This Row],[Recv Date]]),0,1))</f>
        <v>1</v>
      </c>
      <c r="R88" s="54"/>
    </row>
    <row r="89" spans="1:18" ht="15.6" x14ac:dyDescent="0.3">
      <c r="A89" s="5">
        <f>IF(ISBLANK(IMMeter[[#This Row],[OpCo2]]),"",COUNTA(IMMeter[[#This Row],[OpCo2]])-(COUNTA(IMMeter[[#This Row],[OpCo2]])-ROW(IMMeter[[#This Row],[OpCo2]])+1))</f>
        <v>88</v>
      </c>
      <c r="B89" s="5" t="s">
        <v>18</v>
      </c>
      <c r="C89" s="6" t="s">
        <v>2</v>
      </c>
      <c r="D89" s="6" t="s">
        <v>1</v>
      </c>
      <c r="E89" s="5" t="s">
        <v>161</v>
      </c>
      <c r="F89" s="23">
        <v>921205063</v>
      </c>
      <c r="G89" s="24">
        <v>921205182</v>
      </c>
      <c r="H89" s="5">
        <f>IF(AND(ISBLANK(IMMeter[[#This Row],[Beg Ser]]),ISBLANK(IMMeter[[#This Row],[End Ser]])),"",IMMeter[[#This Row],[End Ser]]-IMMeter[[#This Row],[Beg Ser]]+1)</f>
        <v>120</v>
      </c>
      <c r="I89" s="7">
        <v>44900</v>
      </c>
      <c r="J89" s="7"/>
      <c r="K89" s="22">
        <v>81102544</v>
      </c>
      <c r="L89" s="7">
        <v>45482</v>
      </c>
      <c r="M89" s="11">
        <v>164.3</v>
      </c>
      <c r="N89" s="6" t="s">
        <v>160</v>
      </c>
      <c r="O89" s="5">
        <v>99078844</v>
      </c>
      <c r="P89" s="5" t="s">
        <v>161</v>
      </c>
      <c r="Q89" s="5">
        <f>IF(ISBLANK(IMMeter[[#This Row],[PO Number]]),"",IF(ISBLANK(IMMeter[[#This Row],[Recv Date]]),0,1))</f>
        <v>1</v>
      </c>
      <c r="R89" s="54"/>
    </row>
    <row r="90" spans="1:18" ht="15.6" x14ac:dyDescent="0.3">
      <c r="A90" s="5">
        <f>IF(ISBLANK(IMMeter[[#This Row],[OpCo2]]),"",COUNTA(IMMeter[[#This Row],[OpCo2]])-(COUNTA(IMMeter[[#This Row],[OpCo2]])-ROW(IMMeter[[#This Row],[OpCo2]])+1))</f>
        <v>89</v>
      </c>
      <c r="B90" s="5" t="s">
        <v>18</v>
      </c>
      <c r="C90" s="6" t="s">
        <v>2</v>
      </c>
      <c r="D90" s="6" t="s">
        <v>1</v>
      </c>
      <c r="E90" s="5" t="s">
        <v>62</v>
      </c>
      <c r="F90" s="23">
        <v>921449013</v>
      </c>
      <c r="G90" s="24">
        <v>921449492</v>
      </c>
      <c r="H90" s="5">
        <f>IF(AND(ISBLANK(IMMeter[[#This Row],[Beg Ser]]),ISBLANK(IMMeter[[#This Row],[End Ser]])),"",IMMeter[[#This Row],[End Ser]]-IMMeter[[#This Row],[Beg Ser]]+1)</f>
        <v>480</v>
      </c>
      <c r="I90" s="7">
        <v>45036</v>
      </c>
      <c r="J90" s="7"/>
      <c r="K90" s="22">
        <v>81166390</v>
      </c>
      <c r="L90" s="7">
        <v>45482</v>
      </c>
      <c r="M90" s="11">
        <v>115.6</v>
      </c>
      <c r="N90" s="6" t="s">
        <v>144</v>
      </c>
      <c r="O90" s="5">
        <v>99038727</v>
      </c>
      <c r="P90" s="5" t="s">
        <v>62</v>
      </c>
      <c r="Q90" s="5">
        <f>IF(ISBLANK(IMMeter[[#This Row],[PO Number]]),"",IF(ISBLANK(IMMeter[[#This Row],[Recv Date]]),0,1))</f>
        <v>1</v>
      </c>
      <c r="R90" s="54" t="s">
        <v>156</v>
      </c>
    </row>
    <row r="91" spans="1:18" ht="15.6" x14ac:dyDescent="0.3">
      <c r="A91" s="5">
        <f>IF(ISBLANK(IMMeter[[#This Row],[OpCo2]]),"",COUNTA(IMMeter[[#This Row],[OpCo2]])-(COUNTA(IMMeter[[#This Row],[OpCo2]])-ROW(IMMeter[[#This Row],[OpCo2]])+1))</f>
        <v>90</v>
      </c>
      <c r="B91" s="5" t="s">
        <v>18</v>
      </c>
      <c r="C91" s="6" t="s">
        <v>2</v>
      </c>
      <c r="D91" s="6" t="s">
        <v>1</v>
      </c>
      <c r="E91" s="5" t="s">
        <v>85</v>
      </c>
      <c r="F91" s="23">
        <v>621477099</v>
      </c>
      <c r="G91" s="24">
        <v>621477482</v>
      </c>
      <c r="H91" s="5">
        <f>IF(AND(ISBLANK(IMMeter[[#This Row],[Beg Ser]]),ISBLANK(IMMeter[[#This Row],[End Ser]])),"",IMMeter[[#This Row],[End Ser]]-IMMeter[[#This Row],[Beg Ser]]+1)</f>
        <v>384</v>
      </c>
      <c r="I91" s="7">
        <v>44634</v>
      </c>
      <c r="J91" s="7"/>
      <c r="K91" s="22">
        <v>80564679</v>
      </c>
      <c r="L91" s="7">
        <v>45482</v>
      </c>
      <c r="M91" s="11">
        <v>225.98</v>
      </c>
      <c r="N91" s="6" t="s">
        <v>86</v>
      </c>
      <c r="O91" s="5">
        <v>99114988</v>
      </c>
      <c r="P91" s="5" t="s">
        <v>85</v>
      </c>
      <c r="Q91" s="5">
        <f>IF(ISBLANK(IMMeter[[#This Row],[PO Number]]),"",IF(ISBLANK(IMMeter[[#This Row],[Recv Date]]),0,1))</f>
        <v>1</v>
      </c>
      <c r="R91" s="54"/>
    </row>
    <row r="92" spans="1:18" ht="15.6" x14ac:dyDescent="0.3">
      <c r="A92" s="5">
        <f>IF(ISBLANK(IMMeter[[#This Row],[OpCo2]]),"",COUNTA(IMMeter[[#This Row],[OpCo2]])-(COUNTA(IMMeter[[#This Row],[OpCo2]])-ROW(IMMeter[[#This Row],[OpCo2]])+1))</f>
        <v>91</v>
      </c>
      <c r="B92" s="5" t="s">
        <v>18</v>
      </c>
      <c r="C92" s="6" t="s">
        <v>2</v>
      </c>
      <c r="D92" s="6" t="s">
        <v>1</v>
      </c>
      <c r="E92" s="5" t="s">
        <v>161</v>
      </c>
      <c r="F92" s="23">
        <v>921160303</v>
      </c>
      <c r="G92" s="24">
        <v>921160542</v>
      </c>
      <c r="H92" s="5">
        <f>IF(AND(ISBLANK(IMMeter[[#This Row],[Beg Ser]]),ISBLANK(IMMeter[[#This Row],[End Ser]])),"",IMMeter[[#This Row],[End Ser]]-IMMeter[[#This Row],[Beg Ser]]+1)</f>
        <v>240</v>
      </c>
      <c r="I92" s="7">
        <v>44677</v>
      </c>
      <c r="J92" s="7"/>
      <c r="K92" s="22">
        <v>80645403</v>
      </c>
      <c r="L92" s="7">
        <v>45482</v>
      </c>
      <c r="M92" s="11">
        <v>164.3</v>
      </c>
      <c r="N92" s="6" t="s">
        <v>160</v>
      </c>
      <c r="O92" s="5">
        <v>99078844</v>
      </c>
      <c r="P92" s="5" t="s">
        <v>161</v>
      </c>
      <c r="Q92" s="5">
        <f>IF(ISBLANK(IMMeter[[#This Row],[PO Number]]),"",IF(ISBLANK(IMMeter[[#This Row],[Recv Date]]),0,1))</f>
        <v>1</v>
      </c>
      <c r="R92" s="54"/>
    </row>
    <row r="93" spans="1:18" ht="15.6" x14ac:dyDescent="0.3">
      <c r="A93" s="5">
        <f>IF(ISBLANK(IMMeter[[#This Row],[OpCo2]]),"",COUNTA(IMMeter[[#This Row],[OpCo2]])-(COUNTA(IMMeter[[#This Row],[OpCo2]])-ROW(IMMeter[[#This Row],[OpCo2]])+1))</f>
        <v>92</v>
      </c>
      <c r="B93" s="5" t="s">
        <v>18</v>
      </c>
      <c r="C93" s="6" t="s">
        <v>2</v>
      </c>
      <c r="D93" s="6" t="s">
        <v>1</v>
      </c>
      <c r="E93" s="5" t="s">
        <v>126</v>
      </c>
      <c r="F93" s="23">
        <v>921561246</v>
      </c>
      <c r="G93" s="24">
        <v>921561365</v>
      </c>
      <c r="H93" s="5">
        <f>IF(AND(ISBLANK(IMMeter[[#This Row],[Beg Ser]]),ISBLANK(IMMeter[[#This Row],[End Ser]])),"",IMMeter[[#This Row],[End Ser]]-IMMeter[[#This Row],[Beg Ser]]+1)</f>
        <v>120</v>
      </c>
      <c r="I93" s="7">
        <v>44811</v>
      </c>
      <c r="J93" s="7"/>
      <c r="K93" s="22">
        <v>81057563</v>
      </c>
      <c r="L93" s="7">
        <v>45482</v>
      </c>
      <c r="M93" s="11">
        <v>131.24</v>
      </c>
      <c r="N93" s="6" t="s">
        <v>127</v>
      </c>
      <c r="O93" s="5">
        <v>71055998</v>
      </c>
      <c r="P93" s="5" t="s">
        <v>126</v>
      </c>
      <c r="Q93" s="5">
        <f>IF(ISBLANK(IMMeter[[#This Row],[PO Number]]),"",IF(ISBLANK(IMMeter[[#This Row],[Recv Date]]),0,1))</f>
        <v>1</v>
      </c>
      <c r="R93" s="54"/>
    </row>
    <row r="94" spans="1:18" ht="15.6" x14ac:dyDescent="0.3">
      <c r="A94" s="5">
        <f>IF(ISBLANK(IMMeter[[#This Row],[OpCo2]]),"",COUNTA(IMMeter[[#This Row],[OpCo2]])-(COUNTA(IMMeter[[#This Row],[OpCo2]])-ROW(IMMeter[[#This Row],[OpCo2]])+1))</f>
        <v>93</v>
      </c>
      <c r="B94" s="5" t="s">
        <v>18</v>
      </c>
      <c r="C94" s="6" t="s">
        <v>2</v>
      </c>
      <c r="D94" s="6" t="s">
        <v>1</v>
      </c>
      <c r="E94" s="5" t="s">
        <v>126</v>
      </c>
      <c r="F94" s="23">
        <v>921566526</v>
      </c>
      <c r="G94" s="24">
        <v>921566645</v>
      </c>
      <c r="H94" s="5">
        <f>IF(AND(ISBLANK(IMMeter[[#This Row],[Beg Ser]]),ISBLANK(IMMeter[[#This Row],[End Ser]])),"",IMMeter[[#This Row],[End Ser]]-IMMeter[[#This Row],[Beg Ser]]+1)</f>
        <v>120</v>
      </c>
      <c r="I94" s="7">
        <v>44900</v>
      </c>
      <c r="J94" s="7"/>
      <c r="K94" s="22">
        <v>81102544</v>
      </c>
      <c r="L94" s="7">
        <v>45482</v>
      </c>
      <c r="M94" s="11">
        <v>131.24</v>
      </c>
      <c r="N94" s="6" t="s">
        <v>127</v>
      </c>
      <c r="O94" s="5">
        <v>71055998</v>
      </c>
      <c r="P94" s="5" t="s">
        <v>126</v>
      </c>
      <c r="Q94" s="5">
        <f>IF(ISBLANK(IMMeter[[#This Row],[PO Number]]),"",IF(ISBLANK(IMMeter[[#This Row],[Recv Date]]),0,1))</f>
        <v>1</v>
      </c>
      <c r="R94" s="54"/>
    </row>
    <row r="95" spans="1:18" ht="15.6" x14ac:dyDescent="0.3">
      <c r="A95" s="5">
        <f>IF(ISBLANK(IMMeter[[#This Row],[OpCo2]]),"",COUNTA(IMMeter[[#This Row],[OpCo2]])-(COUNTA(IMMeter[[#This Row],[OpCo2]])-ROW(IMMeter[[#This Row],[OpCo2]])+1))</f>
        <v>94</v>
      </c>
      <c r="B95" s="5" t="s">
        <v>18</v>
      </c>
      <c r="C95" s="6" t="s">
        <v>2</v>
      </c>
      <c r="D95" s="6" t="s">
        <v>1</v>
      </c>
      <c r="E95" s="5" t="s">
        <v>161</v>
      </c>
      <c r="F95" s="23">
        <v>913777341</v>
      </c>
      <c r="G95" s="24">
        <v>913777460</v>
      </c>
      <c r="H95" s="5">
        <f>IF(AND(ISBLANK(IMMeter[[#This Row],[Beg Ser]]),ISBLANK(IMMeter[[#This Row],[End Ser]])),"",IMMeter[[#This Row],[End Ser]]-IMMeter[[#This Row],[Beg Ser]]+1)</f>
        <v>120</v>
      </c>
      <c r="I95" s="7">
        <v>44811</v>
      </c>
      <c r="J95" s="7"/>
      <c r="K95" s="22">
        <v>81057564</v>
      </c>
      <c r="L95" s="7">
        <v>45482</v>
      </c>
      <c r="M95" s="11">
        <v>164.3</v>
      </c>
      <c r="N95" s="6" t="s">
        <v>160</v>
      </c>
      <c r="O95" s="5">
        <v>99078844</v>
      </c>
      <c r="P95" s="5" t="s">
        <v>161</v>
      </c>
      <c r="Q95" s="5">
        <f>IF(ISBLANK(IMMeter[[#This Row],[PO Number]]),"",IF(ISBLANK(IMMeter[[#This Row],[Recv Date]]),0,1))</f>
        <v>1</v>
      </c>
      <c r="R95" s="54"/>
    </row>
    <row r="96" spans="1:18" ht="15.6" x14ac:dyDescent="0.3">
      <c r="A96" s="5">
        <f>IF(ISBLANK(IMMeter[[#This Row],[OpCo2]]),"",COUNTA(IMMeter[[#This Row],[OpCo2]])-(COUNTA(IMMeter[[#This Row],[OpCo2]])-ROW(IMMeter[[#This Row],[OpCo2]])+1))</f>
        <v>95</v>
      </c>
      <c r="B96" s="5" t="s">
        <v>18</v>
      </c>
      <c r="C96" s="6" t="s">
        <v>2</v>
      </c>
      <c r="D96" s="6" t="s">
        <v>1</v>
      </c>
      <c r="E96" s="5" t="s">
        <v>62</v>
      </c>
      <c r="F96" s="23">
        <v>921444213</v>
      </c>
      <c r="G96" s="24">
        <v>921446132</v>
      </c>
      <c r="H96" s="5">
        <f>IF(AND(ISBLANK(IMMeter[[#This Row],[Beg Ser]]),ISBLANK(IMMeter[[#This Row],[End Ser]])),"",IMMeter[[#This Row],[End Ser]]-IMMeter[[#This Row],[Beg Ser]]+1)</f>
        <v>1920</v>
      </c>
      <c r="I96" s="7">
        <v>44900</v>
      </c>
      <c r="J96" s="7"/>
      <c r="K96" s="22">
        <v>81102544</v>
      </c>
      <c r="L96" s="7">
        <v>45483</v>
      </c>
      <c r="M96" s="11">
        <v>113.71</v>
      </c>
      <c r="N96" s="6" t="s">
        <v>63</v>
      </c>
      <c r="O96" s="5">
        <v>71055999</v>
      </c>
      <c r="P96" s="5" t="s">
        <v>62</v>
      </c>
      <c r="Q96" s="5">
        <f>IF(ISBLANK(IMMeter[[#This Row],[PO Number]]),"",IF(ISBLANK(IMMeter[[#This Row],[Recv Date]]),0,1))</f>
        <v>1</v>
      </c>
      <c r="R96" s="54"/>
    </row>
    <row r="97" spans="1:18" ht="15.6" x14ac:dyDescent="0.3">
      <c r="A97" s="5">
        <f>IF(ISBLANK(IMMeter[[#This Row],[OpCo2]]),"",COUNTA(IMMeter[[#This Row],[OpCo2]])-(COUNTA(IMMeter[[#This Row],[OpCo2]])-ROW(IMMeter[[#This Row],[OpCo2]])+1))</f>
        <v>96</v>
      </c>
      <c r="B97" s="5" t="s">
        <v>18</v>
      </c>
      <c r="C97" s="6" t="s">
        <v>2</v>
      </c>
      <c r="D97" s="6" t="s">
        <v>1</v>
      </c>
      <c r="E97" s="5" t="s">
        <v>62</v>
      </c>
      <c r="F97" s="23">
        <v>921446133</v>
      </c>
      <c r="G97" s="24">
        <v>921449012</v>
      </c>
      <c r="H97" s="5">
        <f>IF(AND(ISBLANK(IMMeter[[#This Row],[Beg Ser]]),ISBLANK(IMMeter[[#This Row],[End Ser]])),"",IMMeter[[#This Row],[End Ser]]-IMMeter[[#This Row],[Beg Ser]]+1)</f>
        <v>2880</v>
      </c>
      <c r="I97" s="7">
        <v>45036</v>
      </c>
      <c r="J97" s="7"/>
      <c r="K97" s="22">
        <v>81166389</v>
      </c>
      <c r="L97" s="7">
        <v>45495</v>
      </c>
      <c r="M97" s="11">
        <v>113.71</v>
      </c>
      <c r="N97" s="6" t="s">
        <v>63</v>
      </c>
      <c r="O97" s="5">
        <v>71055999</v>
      </c>
      <c r="P97" s="5" t="s">
        <v>62</v>
      </c>
      <c r="Q97" s="5">
        <f>IF(ISBLANK(IMMeter[[#This Row],[PO Number]]),"",IF(ISBLANK(IMMeter[[#This Row],[Recv Date]]),0,1))</f>
        <v>1</v>
      </c>
      <c r="R97" s="54"/>
    </row>
    <row r="98" spans="1:18" ht="15.6" x14ac:dyDescent="0.3">
      <c r="A98" s="5">
        <f>IF(ISBLANK(IMMeter[[#This Row],[OpCo2]]),"",COUNTA(IMMeter[[#This Row],[OpCo2]])-(COUNTA(IMMeter[[#This Row],[OpCo2]])-ROW(IMMeter[[#This Row],[OpCo2]])+1))</f>
        <v>97</v>
      </c>
      <c r="B98" s="5" t="s">
        <v>18</v>
      </c>
      <c r="C98" s="6" t="s">
        <v>2</v>
      </c>
      <c r="D98" s="6" t="s">
        <v>1</v>
      </c>
      <c r="E98" s="5" t="s">
        <v>126</v>
      </c>
      <c r="F98" s="23">
        <v>921566646</v>
      </c>
      <c r="G98" s="24">
        <v>921566765</v>
      </c>
      <c r="H98" s="5">
        <f>IF(AND(ISBLANK(IMMeter[[#This Row],[Beg Ser]]),ISBLANK(IMMeter[[#This Row],[End Ser]])),"",IMMeter[[#This Row],[End Ser]]-IMMeter[[#This Row],[Beg Ser]]+1)</f>
        <v>120</v>
      </c>
      <c r="I98" s="7">
        <v>45036</v>
      </c>
      <c r="J98" s="7"/>
      <c r="K98" s="22">
        <v>81166389</v>
      </c>
      <c r="L98" s="7">
        <v>45499</v>
      </c>
      <c r="M98" s="11">
        <v>131.24</v>
      </c>
      <c r="N98" s="6" t="s">
        <v>127</v>
      </c>
      <c r="O98" s="5">
        <v>71055998</v>
      </c>
      <c r="P98" s="5" t="s">
        <v>126</v>
      </c>
      <c r="Q98" s="5">
        <f>IF(ISBLANK(IMMeter[[#This Row],[PO Number]]),"",IF(ISBLANK(IMMeter[[#This Row],[Recv Date]]),0,1))</f>
        <v>1</v>
      </c>
      <c r="R98" s="54"/>
    </row>
    <row r="99" spans="1:18" ht="15.6" x14ac:dyDescent="0.3">
      <c r="A99" s="5">
        <f>IF(ISBLANK(IMMeter[[#This Row],[OpCo2]]),"",COUNTA(IMMeter[[#This Row],[OpCo2]])-(COUNTA(IMMeter[[#This Row],[OpCo2]])-ROW(IMMeter[[#This Row],[OpCo2]])+1))</f>
        <v>98</v>
      </c>
      <c r="B99" s="5" t="s">
        <v>18</v>
      </c>
      <c r="C99" s="6" t="s">
        <v>2</v>
      </c>
      <c r="D99" s="6" t="s">
        <v>1</v>
      </c>
      <c r="E99" s="5" t="s">
        <v>71</v>
      </c>
      <c r="F99" s="23">
        <v>921560286</v>
      </c>
      <c r="G99" s="24">
        <v>921560525</v>
      </c>
      <c r="H99" s="5">
        <f>IF(AND(ISBLANK(IMMeter[[#This Row],[Beg Ser]]),ISBLANK(IMMeter[[#This Row],[End Ser]])),"",IMMeter[[#This Row],[End Ser]]-IMMeter[[#This Row],[Beg Ser]]+1)</f>
        <v>240</v>
      </c>
      <c r="I99" s="7">
        <v>44616</v>
      </c>
      <c r="J99" s="7"/>
      <c r="K99" s="22">
        <v>80527481</v>
      </c>
      <c r="L99" s="7">
        <v>45499</v>
      </c>
      <c r="M99" s="11">
        <v>160.69</v>
      </c>
      <c r="N99" s="6" t="s">
        <v>72</v>
      </c>
      <c r="O99" s="5">
        <v>99038747</v>
      </c>
      <c r="P99" s="5" t="s">
        <v>71</v>
      </c>
      <c r="Q99" s="5">
        <f>IF(ISBLANK(IMMeter[[#This Row],[PO Number]]),"",IF(ISBLANK(IMMeter[[#This Row],[Recv Date]]),0,1))</f>
        <v>1</v>
      </c>
      <c r="R99" s="54"/>
    </row>
    <row r="100" spans="1:18" ht="15.6" x14ac:dyDescent="0.3">
      <c r="A100" s="5">
        <f>IF(ISBLANK(IMMeter[[#This Row],[OpCo2]]),"",COUNTA(IMMeter[[#This Row],[OpCo2]])-(COUNTA(IMMeter[[#This Row],[OpCo2]])-ROW(IMMeter[[#This Row],[OpCo2]])+1))</f>
        <v>99</v>
      </c>
      <c r="B100" s="5" t="s">
        <v>18</v>
      </c>
      <c r="C100" s="6" t="s">
        <v>2</v>
      </c>
      <c r="D100" s="6" t="s">
        <v>1</v>
      </c>
      <c r="E100" s="5" t="s">
        <v>122</v>
      </c>
      <c r="F100" s="23">
        <v>921545166</v>
      </c>
      <c r="G100" s="24">
        <v>921545285</v>
      </c>
      <c r="H100" s="5">
        <f>IF(AND(ISBLANK(IMMeter[[#This Row],[Beg Ser]]),ISBLANK(IMMeter[[#This Row],[End Ser]])),"",IMMeter[[#This Row],[End Ser]]-IMMeter[[#This Row],[Beg Ser]]+1)</f>
        <v>120</v>
      </c>
      <c r="I100" s="7">
        <v>44616</v>
      </c>
      <c r="J100" s="7"/>
      <c r="K100" s="22">
        <v>80527481</v>
      </c>
      <c r="L100" s="7">
        <v>45499</v>
      </c>
      <c r="M100" s="11">
        <v>165.73</v>
      </c>
      <c r="N100" s="6" t="s">
        <v>123</v>
      </c>
      <c r="O100" s="5">
        <v>99038726</v>
      </c>
      <c r="P100" s="5" t="s">
        <v>122</v>
      </c>
      <c r="Q100" s="5">
        <f>IF(ISBLANK(IMMeter[[#This Row],[PO Number]]),"",IF(ISBLANK(IMMeter[[#This Row],[Recv Date]]),0,1))</f>
        <v>1</v>
      </c>
      <c r="R100" s="54"/>
    </row>
    <row r="101" spans="1:18" ht="15.6" x14ac:dyDescent="0.3">
      <c r="A101" s="5">
        <f>IF(ISBLANK(IMMeter[[#This Row],[OpCo2]]),"",COUNTA(IMMeter[[#This Row],[OpCo2]])-(COUNTA(IMMeter[[#This Row],[OpCo2]])-ROW(IMMeter[[#This Row],[OpCo2]])+1))</f>
        <v>100</v>
      </c>
      <c r="B101" s="5" t="s">
        <v>18</v>
      </c>
      <c r="C101" s="6" t="s">
        <v>2</v>
      </c>
      <c r="D101" s="6" t="s">
        <v>1</v>
      </c>
      <c r="E101" s="5" t="s">
        <v>89</v>
      </c>
      <c r="F101" s="23">
        <v>921807311</v>
      </c>
      <c r="G101" s="24">
        <v>921807430</v>
      </c>
      <c r="H101" s="5">
        <f>IF(AND(ISBLANK(IMMeter[[#This Row],[Beg Ser]]),ISBLANK(IMMeter[[#This Row],[End Ser]])),"",IMMeter[[#This Row],[End Ser]]-IMMeter[[#This Row],[Beg Ser]]+1)</f>
        <v>120</v>
      </c>
      <c r="I101" s="7">
        <v>44900</v>
      </c>
      <c r="J101" s="7"/>
      <c r="K101" s="22">
        <v>81102545</v>
      </c>
      <c r="L101" s="7">
        <v>45516</v>
      </c>
      <c r="M101" s="11">
        <v>403.88</v>
      </c>
      <c r="N101" s="6" t="s">
        <v>109</v>
      </c>
      <c r="O101" s="6" t="s">
        <v>175</v>
      </c>
      <c r="P101" s="5" t="s">
        <v>89</v>
      </c>
      <c r="Q101" s="5">
        <f>IF(ISBLANK(IMMeter[[#This Row],[PO Number]]),"",IF(ISBLANK(IMMeter[[#This Row],[Recv Date]]),0,1))</f>
        <v>1</v>
      </c>
      <c r="R101" s="54"/>
    </row>
    <row r="102" spans="1:18" ht="15.6" x14ac:dyDescent="0.3">
      <c r="A102" s="5">
        <f>IF(ISBLANK(IMMeter[[#This Row],[OpCo2]]),"",COUNTA(IMMeter[[#This Row],[OpCo2]])-(COUNTA(IMMeter[[#This Row],[OpCo2]])-ROW(IMMeter[[#This Row],[OpCo2]])+1))</f>
        <v>101</v>
      </c>
      <c r="B102" s="5" t="s">
        <v>18</v>
      </c>
      <c r="C102" s="6" t="s">
        <v>2</v>
      </c>
      <c r="D102" s="6" t="s">
        <v>1</v>
      </c>
      <c r="E102" s="5" t="s">
        <v>85</v>
      </c>
      <c r="F102" s="23">
        <v>621478251</v>
      </c>
      <c r="G102" s="24">
        <v>621479018</v>
      </c>
      <c r="H102" s="5">
        <f>IF(AND(ISBLANK(IMMeter[[#This Row],[Beg Ser]]),ISBLANK(IMMeter[[#This Row],[End Ser]])),"",IMMeter[[#This Row],[End Ser]]-IMMeter[[#This Row],[Beg Ser]]+1)</f>
        <v>768</v>
      </c>
      <c r="I102" s="7">
        <v>44635</v>
      </c>
      <c r="J102" s="7"/>
      <c r="K102" s="22">
        <v>80565265</v>
      </c>
      <c r="L102" s="7">
        <v>45530</v>
      </c>
      <c r="M102" s="11">
        <v>225.98</v>
      </c>
      <c r="N102" s="6" t="s">
        <v>86</v>
      </c>
      <c r="O102" s="5">
        <v>99114988</v>
      </c>
      <c r="P102" s="5" t="s">
        <v>85</v>
      </c>
      <c r="Q102" s="5">
        <f>IF(ISBLANK(IMMeter[[#This Row],[PO Number]]),"",IF(ISBLANK(IMMeter[[#This Row],[Recv Date]]),0,1))</f>
        <v>1</v>
      </c>
      <c r="R102" s="54"/>
    </row>
    <row r="103" spans="1:18" ht="15.6" x14ac:dyDescent="0.3">
      <c r="A103" s="5">
        <f>IF(ISBLANK(IMMeter[[#This Row],[OpCo2]]),"",COUNTA(IMMeter[[#This Row],[OpCo2]])-(COUNTA(IMMeter[[#This Row],[OpCo2]])-ROW(IMMeter[[#This Row],[OpCo2]])+1))</f>
        <v>102</v>
      </c>
      <c r="B103" s="5" t="s">
        <v>18</v>
      </c>
      <c r="C103" s="6" t="s">
        <v>2</v>
      </c>
      <c r="D103" s="6" t="s">
        <v>1</v>
      </c>
      <c r="E103" s="5" t="s">
        <v>0</v>
      </c>
      <c r="F103" s="23">
        <v>621586359</v>
      </c>
      <c r="G103" s="24">
        <v>621587510</v>
      </c>
      <c r="H103" s="5">
        <f>IF(AND(ISBLANK(IMMeter[[#This Row],[Beg Ser]]),ISBLANK(IMMeter[[#This Row],[End Ser]])),"",IMMeter[[#This Row],[End Ser]]-IMMeter[[#This Row],[Beg Ser]]+1)</f>
        <v>1152</v>
      </c>
      <c r="I103" s="7">
        <v>44663</v>
      </c>
      <c r="J103" s="7"/>
      <c r="K103" s="22">
        <v>80610029</v>
      </c>
      <c r="L103" s="7">
        <v>45530</v>
      </c>
      <c r="M103" s="11">
        <v>215.16</v>
      </c>
      <c r="N103" s="6" t="s">
        <v>76</v>
      </c>
      <c r="O103" s="5">
        <v>99114989</v>
      </c>
      <c r="P103" s="5" t="s">
        <v>0</v>
      </c>
      <c r="Q103" s="5">
        <f>IF(ISBLANK(IMMeter[[#This Row],[PO Number]]),"",IF(ISBLANK(IMMeter[[#This Row],[Recv Date]]),0,1))</f>
        <v>1</v>
      </c>
      <c r="R103" s="54"/>
    </row>
    <row r="104" spans="1:18" ht="15.6" x14ac:dyDescent="0.3">
      <c r="A104" s="5">
        <f>IF(ISBLANK(IMMeter[[#This Row],[OpCo2]]),"",COUNTA(IMMeter[[#This Row],[OpCo2]])-(COUNTA(IMMeter[[#This Row],[OpCo2]])-ROW(IMMeter[[#This Row],[OpCo2]])+1))</f>
        <v>103</v>
      </c>
      <c r="B104" s="5" t="s">
        <v>18</v>
      </c>
      <c r="C104" s="6" t="s">
        <v>2</v>
      </c>
      <c r="D104" s="6" t="s">
        <v>1</v>
      </c>
      <c r="E104" s="5" t="s">
        <v>0</v>
      </c>
      <c r="F104" s="23">
        <v>621476715</v>
      </c>
      <c r="G104" s="24">
        <v>621477098</v>
      </c>
      <c r="H104" s="5">
        <f>IF(AND(ISBLANK(IMMeter[[#This Row],[Beg Ser]]),ISBLANK(IMMeter[[#This Row],[End Ser]])),"",IMMeter[[#This Row],[End Ser]]-IMMeter[[#This Row],[Beg Ser]]+1)</f>
        <v>384</v>
      </c>
      <c r="I104" s="7">
        <v>44634</v>
      </c>
      <c r="J104" s="7"/>
      <c r="K104" s="22">
        <v>80564672</v>
      </c>
      <c r="L104" s="7">
        <v>45530</v>
      </c>
      <c r="M104" s="11">
        <v>215.16</v>
      </c>
      <c r="N104" s="6" t="s">
        <v>76</v>
      </c>
      <c r="O104" s="5">
        <v>99114989</v>
      </c>
      <c r="P104" s="5" t="s">
        <v>0</v>
      </c>
      <c r="Q104" s="5">
        <f>IF(ISBLANK(IMMeter[[#This Row],[PO Number]]),"",IF(ISBLANK(IMMeter[[#This Row],[Recv Date]]),0,1))</f>
        <v>1</v>
      </c>
      <c r="R104" s="54"/>
    </row>
    <row r="105" spans="1:18" ht="15.6" x14ac:dyDescent="0.3">
      <c r="A105" s="5">
        <f>IF(ISBLANK(IMMeter[[#This Row],[OpCo2]]),"",COUNTA(IMMeter[[#This Row],[OpCo2]])-(COUNTA(IMMeter[[#This Row],[OpCo2]])-ROW(IMMeter[[#This Row],[OpCo2]])+1))</f>
        <v>104</v>
      </c>
      <c r="B105" s="5" t="s">
        <v>18</v>
      </c>
      <c r="C105" s="6" t="s">
        <v>2</v>
      </c>
      <c r="D105" s="6" t="s">
        <v>1</v>
      </c>
      <c r="E105" s="5" t="s">
        <v>0</v>
      </c>
      <c r="F105" s="23">
        <v>621476331</v>
      </c>
      <c r="G105" s="24">
        <v>621476714</v>
      </c>
      <c r="H105" s="5">
        <f>IF(AND(ISBLANK(IMMeter[[#This Row],[Beg Ser]]),ISBLANK(IMMeter[[#This Row],[End Ser]])),"",IMMeter[[#This Row],[End Ser]]-IMMeter[[#This Row],[Beg Ser]]+1)</f>
        <v>384</v>
      </c>
      <c r="I105" s="7">
        <v>44634</v>
      </c>
      <c r="J105" s="7"/>
      <c r="K105" s="22">
        <v>80564678</v>
      </c>
      <c r="L105" s="7">
        <v>45530</v>
      </c>
      <c r="M105" s="11">
        <v>215.16</v>
      </c>
      <c r="N105" s="6" t="s">
        <v>76</v>
      </c>
      <c r="O105" s="5">
        <v>99114989</v>
      </c>
      <c r="P105" s="5" t="s">
        <v>0</v>
      </c>
      <c r="Q105" s="5">
        <f>IF(ISBLANK(IMMeter[[#This Row],[PO Number]]),"",IF(ISBLANK(IMMeter[[#This Row],[Recv Date]]),0,1))</f>
        <v>1</v>
      </c>
      <c r="R105" s="54"/>
    </row>
    <row r="106" spans="1:18" ht="15.6" x14ac:dyDescent="0.3">
      <c r="A106" s="5">
        <f>IF(ISBLANK(IMMeter[[#This Row],[OpCo2]]),"",COUNTA(IMMeter[[#This Row],[OpCo2]])-(COUNTA(IMMeter[[#This Row],[OpCo2]])-ROW(IMMeter[[#This Row],[OpCo2]])+1))</f>
        <v>105</v>
      </c>
      <c r="B106" s="5" t="s">
        <v>18</v>
      </c>
      <c r="C106" s="6" t="s">
        <v>2</v>
      </c>
      <c r="D106" s="6" t="s">
        <v>1</v>
      </c>
      <c r="E106" s="5" t="s">
        <v>128</v>
      </c>
      <c r="F106" s="23">
        <v>621584297</v>
      </c>
      <c r="G106" s="24">
        <v>621584680</v>
      </c>
      <c r="H106" s="5">
        <f>IF(AND(ISBLANK(IMMeter[[#This Row],[Beg Ser]]),ISBLANK(IMMeter[[#This Row],[End Ser]])),"",IMMeter[[#This Row],[End Ser]]-IMMeter[[#This Row],[Beg Ser]]+1)</f>
        <v>384</v>
      </c>
      <c r="I106" s="7">
        <v>44663</v>
      </c>
      <c r="J106" s="7"/>
      <c r="K106" s="22">
        <v>80610029</v>
      </c>
      <c r="L106" s="7">
        <v>45538</v>
      </c>
      <c r="M106" s="11">
        <v>215.16</v>
      </c>
      <c r="N106" s="6" t="s">
        <v>129</v>
      </c>
      <c r="O106" s="5">
        <v>99114944</v>
      </c>
      <c r="P106" s="5" t="s">
        <v>128</v>
      </c>
      <c r="Q106" s="5">
        <f>IF(ISBLANK(IMMeter[[#This Row],[PO Number]]),"",IF(ISBLANK(IMMeter[[#This Row],[Recv Date]]),0,1))</f>
        <v>1</v>
      </c>
      <c r="R106" s="54"/>
    </row>
    <row r="107" spans="1:18" ht="15.6" x14ac:dyDescent="0.3">
      <c r="A107" s="5">
        <f>IF(ISBLANK(IMMeter[[#This Row],[OpCo2]]),"",COUNTA(IMMeter[[#This Row],[OpCo2]])-(COUNTA(IMMeter[[#This Row],[OpCo2]])-ROW(IMMeter[[#This Row],[OpCo2]])+1))</f>
        <v>106</v>
      </c>
      <c r="B107" s="5" t="s">
        <v>18</v>
      </c>
      <c r="C107" s="6" t="s">
        <v>2</v>
      </c>
      <c r="D107" s="6" t="s">
        <v>1</v>
      </c>
      <c r="E107" s="5" t="s">
        <v>0</v>
      </c>
      <c r="F107" s="23">
        <v>622343583</v>
      </c>
      <c r="G107" s="24">
        <v>622344350</v>
      </c>
      <c r="H107" s="5">
        <f>IF(AND(ISBLANK(IMMeter[[#This Row],[Beg Ser]]),ISBLANK(IMMeter[[#This Row],[End Ser]])),"",IMMeter[[#This Row],[End Ser]]-IMMeter[[#This Row],[Beg Ser]]+1)</f>
        <v>768</v>
      </c>
      <c r="I107" s="7">
        <v>45510</v>
      </c>
      <c r="J107" s="7"/>
      <c r="K107" s="22">
        <v>81373124</v>
      </c>
      <c r="L107" s="7">
        <v>45565</v>
      </c>
      <c r="M107" s="11">
        <v>215.16</v>
      </c>
      <c r="N107" s="6" t="s">
        <v>76</v>
      </c>
      <c r="O107" s="5">
        <v>99114989</v>
      </c>
      <c r="P107" s="5" t="s">
        <v>0</v>
      </c>
      <c r="Q107" s="5">
        <f>IF(ISBLANK(IMMeter[[#This Row],[PO Number]]),"",IF(ISBLANK(IMMeter[[#This Row],[Recv Date]]),0,1))</f>
        <v>1</v>
      </c>
      <c r="R107" s="54"/>
    </row>
    <row r="108" spans="1:18" ht="15.6" x14ac:dyDescent="0.3">
      <c r="A108" s="5">
        <f>IF(ISBLANK(IMMeter[[#This Row],[OpCo2]]),"",COUNTA(IMMeter[[#This Row],[OpCo2]])-(COUNTA(IMMeter[[#This Row],[OpCo2]])-ROW(IMMeter[[#This Row],[OpCo2]])+1))</f>
        <v>107</v>
      </c>
      <c r="B108" s="5" t="s">
        <v>18</v>
      </c>
      <c r="C108" s="6" t="s">
        <v>2</v>
      </c>
      <c r="D108" s="6" t="s">
        <v>1</v>
      </c>
      <c r="E108" s="5" t="s">
        <v>89</v>
      </c>
      <c r="F108" s="23">
        <v>914664224</v>
      </c>
      <c r="G108" s="24">
        <v>914664343</v>
      </c>
      <c r="H108" s="5">
        <f>IF(AND(ISBLANK(IMMeter[[#This Row],[Beg Ser]]),ISBLANK(IMMeter[[#This Row],[End Ser]])),"",IMMeter[[#This Row],[End Ser]]-IMMeter[[#This Row],[Beg Ser]]+1)</f>
        <v>120</v>
      </c>
      <c r="I108" s="7">
        <v>44722</v>
      </c>
      <c r="J108" s="7"/>
      <c r="K108" s="22">
        <v>80848192</v>
      </c>
      <c r="L108" s="7">
        <v>45595</v>
      </c>
      <c r="M108" s="11">
        <v>403.88</v>
      </c>
      <c r="N108" s="6" t="s">
        <v>109</v>
      </c>
      <c r="O108" s="6" t="s">
        <v>175</v>
      </c>
      <c r="P108" s="5" t="s">
        <v>89</v>
      </c>
      <c r="Q108" s="5">
        <f>IF(ISBLANK(IMMeter[[#This Row],[PO Number]]),"",IF(ISBLANK(IMMeter[[#This Row],[Recv Date]]),0,1))</f>
        <v>1</v>
      </c>
      <c r="R108" s="54"/>
    </row>
    <row r="109" spans="1:18" ht="15.6" x14ac:dyDescent="0.3">
      <c r="A109" s="5">
        <f>IF(ISBLANK(IMMeter[[#This Row],[OpCo2]]),"",COUNTA(IMMeter[[#This Row],[OpCo2]])-(COUNTA(IMMeter[[#This Row],[OpCo2]])-ROW(IMMeter[[#This Row],[OpCo2]])+1))</f>
        <v>108</v>
      </c>
      <c r="B109" s="5" t="s">
        <v>18</v>
      </c>
      <c r="C109" s="6" t="s">
        <v>2</v>
      </c>
      <c r="D109" s="6" t="s">
        <v>1</v>
      </c>
      <c r="E109" s="5" t="s">
        <v>89</v>
      </c>
      <c r="F109" s="23">
        <v>921807431</v>
      </c>
      <c r="G109" s="24">
        <v>921807550</v>
      </c>
      <c r="H109" s="5">
        <f>IF(AND(ISBLANK(IMMeter[[#This Row],[Beg Ser]]),ISBLANK(IMMeter[[#This Row],[End Ser]])),"",IMMeter[[#This Row],[End Ser]]-IMMeter[[#This Row],[Beg Ser]]+1)</f>
        <v>120</v>
      </c>
      <c r="I109" s="7">
        <v>45036</v>
      </c>
      <c r="J109" s="7"/>
      <c r="K109" s="22">
        <v>81166390</v>
      </c>
      <c r="L109" s="7">
        <v>45609</v>
      </c>
      <c r="M109" s="11">
        <v>403.88</v>
      </c>
      <c r="N109" s="6" t="s">
        <v>109</v>
      </c>
      <c r="O109" s="6" t="s">
        <v>175</v>
      </c>
      <c r="P109" s="5" t="s">
        <v>89</v>
      </c>
      <c r="Q109" s="5">
        <f>IF(ISBLANK(IMMeter[[#This Row],[PO Number]]),"",IF(ISBLANK(IMMeter[[#This Row],[Recv Date]]),0,1))</f>
        <v>1</v>
      </c>
      <c r="R109" s="54"/>
    </row>
    <row r="110" spans="1:18" ht="15.6" x14ac:dyDescent="0.3">
      <c r="A110" s="5">
        <f>IF(ISBLANK(IMMeter[[#This Row],[OpCo2]]),"",COUNTA(IMMeter[[#This Row],[OpCo2]])-(COUNTA(IMMeter[[#This Row],[OpCo2]])-ROW(IMMeter[[#This Row],[OpCo2]])+1))</f>
        <v>109</v>
      </c>
      <c r="B110" s="5" t="s">
        <v>18</v>
      </c>
      <c r="C110" s="6" t="s">
        <v>2</v>
      </c>
      <c r="D110" s="6" t="s">
        <v>1</v>
      </c>
      <c r="E110" s="5" t="s">
        <v>89</v>
      </c>
      <c r="F110" s="23">
        <v>922331519</v>
      </c>
      <c r="G110" s="24">
        <v>922331638</v>
      </c>
      <c r="H110" s="5">
        <f>IF(AND(ISBLANK(IMMeter[[#This Row],[Beg Ser]]),ISBLANK(IMMeter[[#This Row],[End Ser]])),"",IMMeter[[#This Row],[End Ser]]-IMMeter[[#This Row],[Beg Ser]]+1)</f>
        <v>120</v>
      </c>
      <c r="I110" s="7">
        <v>45036</v>
      </c>
      <c r="J110" s="7"/>
      <c r="K110" s="22">
        <v>81166390</v>
      </c>
      <c r="L110" s="7">
        <v>45609</v>
      </c>
      <c r="M110" s="11">
        <v>403.88</v>
      </c>
      <c r="N110" s="6" t="s">
        <v>70</v>
      </c>
      <c r="O110" s="6" t="s">
        <v>182</v>
      </c>
      <c r="P110" s="5" t="s">
        <v>65</v>
      </c>
      <c r="Q110" s="5">
        <f>IF(ISBLANK(IMMeter[[#This Row],[PO Number]]),"",IF(ISBLANK(IMMeter[[#This Row],[Recv Date]]),0,1))</f>
        <v>1</v>
      </c>
      <c r="R110" s="54"/>
    </row>
    <row r="111" spans="1:18" ht="15.6" x14ac:dyDescent="0.3">
      <c r="A111" s="5">
        <f>IF(ISBLANK(IMMeter[[#This Row],[OpCo2]]),"",COUNTA(IMMeter[[#This Row],[OpCo2]])-(COUNTA(IMMeter[[#This Row],[OpCo2]])-ROW(IMMeter[[#This Row],[OpCo2]])+1))</f>
        <v>110</v>
      </c>
      <c r="B111" s="5" t="s">
        <v>18</v>
      </c>
      <c r="C111" s="6" t="s">
        <v>2</v>
      </c>
      <c r="D111" s="6" t="s">
        <v>1</v>
      </c>
      <c r="E111" s="5" t="s">
        <v>0</v>
      </c>
      <c r="F111" s="23">
        <v>621477483</v>
      </c>
      <c r="G111" s="24">
        <v>621478250</v>
      </c>
      <c r="H111" s="5">
        <f>IF(AND(ISBLANK(IMMeter[[#This Row],[Beg Ser]]),ISBLANK(IMMeter[[#This Row],[End Ser]])),"",IMMeter[[#This Row],[End Ser]]-IMMeter[[#This Row],[Beg Ser]]+1)</f>
        <v>768</v>
      </c>
      <c r="I111" s="7">
        <v>44635</v>
      </c>
      <c r="J111" s="7"/>
      <c r="K111" s="22">
        <v>80565265</v>
      </c>
      <c r="L111" s="7">
        <v>45610</v>
      </c>
      <c r="M111" s="11">
        <v>215.16</v>
      </c>
      <c r="N111" s="6" t="s">
        <v>76</v>
      </c>
      <c r="O111" s="5">
        <v>99114989</v>
      </c>
      <c r="P111" s="5" t="s">
        <v>0</v>
      </c>
      <c r="Q111" s="5">
        <f>IF(ISBLANK(IMMeter[[#This Row],[PO Number]]),"",IF(ISBLANK(IMMeter[[#This Row],[Recv Date]]),0,1))</f>
        <v>1</v>
      </c>
      <c r="R111" s="54"/>
    </row>
    <row r="112" spans="1:18" ht="15.6" x14ac:dyDescent="0.3">
      <c r="A112" s="5" t="str">
        <f>IF(ISBLANK(IMMeter[[#This Row],[OpCo2]]),"",COUNTA(IMMeter[[#This Row],[OpCo2]])-(COUNTA(IMMeter[[#This Row],[OpCo2]])-ROW(IMMeter[[#This Row],[OpCo2]])+1))</f>
        <v/>
      </c>
      <c r="B112" s="5"/>
      <c r="C112" s="6"/>
      <c r="D112" s="6"/>
      <c r="E112" s="5"/>
      <c r="F112" s="23"/>
      <c r="G112" s="24"/>
      <c r="H112" s="5" t="str">
        <f>IF(AND(ISBLANK(IMMeter[[#This Row],[Beg Ser]]),ISBLANK(IMMeter[[#This Row],[End Ser]])),"",IMMeter[[#This Row],[End Ser]]-IMMeter[[#This Row],[Beg Ser]]+1)</f>
        <v/>
      </c>
      <c r="I112" s="7"/>
      <c r="J112" s="7"/>
      <c r="K112" s="22"/>
      <c r="L112" s="7"/>
      <c r="M112" s="11"/>
      <c r="N112" s="6"/>
      <c r="O112" s="5"/>
      <c r="P112" s="5"/>
      <c r="Q112" s="5" t="str">
        <f>IF(ISBLANK(IMMeter[[#This Row],[PO Number]]),"",IF(ISBLANK(IMMeter[[#This Row],[Recv Date]]),0,1))</f>
        <v/>
      </c>
      <c r="R112" s="54"/>
    </row>
    <row r="113" spans="1:18" ht="15.6" x14ac:dyDescent="0.3">
      <c r="A113" s="5" t="str">
        <f>IF(ISBLANK(IMMeter[[#This Row],[OpCo2]]),"",COUNTA(IMMeter[[#This Row],[OpCo2]])-(COUNTA(IMMeter[[#This Row],[OpCo2]])-ROW(IMMeter[[#This Row],[OpCo2]])+1))</f>
        <v/>
      </c>
      <c r="B113" s="5"/>
      <c r="C113" s="6"/>
      <c r="D113" s="6"/>
      <c r="E113" s="5"/>
      <c r="F113" s="23"/>
      <c r="G113" s="24"/>
      <c r="H113" s="5" t="str">
        <f>IF(AND(ISBLANK(IMMeter[[#This Row],[Beg Ser]]),ISBLANK(IMMeter[[#This Row],[End Ser]])),"",IMMeter[[#This Row],[End Ser]]-IMMeter[[#This Row],[Beg Ser]]+1)</f>
        <v/>
      </c>
      <c r="I113" s="7"/>
      <c r="J113" s="7"/>
      <c r="K113" s="22"/>
      <c r="L113" s="7"/>
      <c r="M113" s="11"/>
      <c r="N113" s="6"/>
      <c r="O113" s="5"/>
      <c r="P113" s="5"/>
      <c r="Q113" s="5" t="str">
        <f>IF(ISBLANK(IMMeter[[#This Row],[PO Number]]),"",IF(ISBLANK(IMMeter[[#This Row],[Recv Date]]),0,1))</f>
        <v/>
      </c>
      <c r="R113" s="54"/>
    </row>
    <row r="114" spans="1:18" ht="15.6" x14ac:dyDescent="0.3">
      <c r="A114" s="5" t="str">
        <f>IF(ISBLANK(IMMeter[[#This Row],[OpCo2]]),"",COUNTA(IMMeter[[#This Row],[OpCo2]])-(COUNTA(IMMeter[[#This Row],[OpCo2]])-ROW(IMMeter[[#This Row],[OpCo2]])+1))</f>
        <v/>
      </c>
      <c r="B114" s="5"/>
      <c r="C114" s="6"/>
      <c r="D114" s="6"/>
      <c r="E114" s="5"/>
      <c r="F114" s="23"/>
      <c r="G114" s="24"/>
      <c r="H114" s="5" t="str">
        <f>IF(AND(ISBLANK(IMMeter[[#This Row],[Beg Ser]]),ISBLANK(IMMeter[[#This Row],[End Ser]])),"",IMMeter[[#This Row],[End Ser]]-IMMeter[[#This Row],[Beg Ser]]+1)</f>
        <v/>
      </c>
      <c r="I114" s="7"/>
      <c r="J114" s="7"/>
      <c r="K114" s="22"/>
      <c r="L114" s="7"/>
      <c r="M114" s="11"/>
      <c r="N114" s="6"/>
      <c r="O114" s="5"/>
      <c r="P114" s="5"/>
      <c r="Q114" s="5" t="str">
        <f>IF(ISBLANK(IMMeter[[#This Row],[PO Number]]),"",IF(ISBLANK(IMMeter[[#This Row],[Recv Date]]),0,1))</f>
        <v/>
      </c>
      <c r="R114" s="54"/>
    </row>
    <row r="115" spans="1:18" ht="15.6" x14ac:dyDescent="0.3">
      <c r="A115" s="5" t="str">
        <f>IF(ISBLANK(IMMeter[[#This Row],[OpCo2]]),"",COUNTA(IMMeter[[#This Row],[OpCo2]])-(COUNTA(IMMeter[[#This Row],[OpCo2]])-ROW(IMMeter[[#This Row],[OpCo2]])+1))</f>
        <v/>
      </c>
      <c r="B115" s="5"/>
      <c r="C115" s="6"/>
      <c r="D115" s="6"/>
      <c r="E115" s="5"/>
      <c r="F115" s="23"/>
      <c r="G115" s="24"/>
      <c r="H115" s="5" t="str">
        <f>IF(AND(ISBLANK(IMMeter[[#This Row],[Beg Ser]]),ISBLANK(IMMeter[[#This Row],[End Ser]])),"",IMMeter[[#This Row],[End Ser]]-IMMeter[[#This Row],[Beg Ser]]+1)</f>
        <v/>
      </c>
      <c r="I115" s="7"/>
      <c r="J115" s="7"/>
      <c r="K115" s="22"/>
      <c r="L115" s="7"/>
      <c r="M115" s="11"/>
      <c r="N115" s="6"/>
      <c r="O115" s="5"/>
      <c r="P115" s="5"/>
      <c r="Q115" s="5" t="str">
        <f>IF(ISBLANK(IMMeter[[#This Row],[PO Number]]),"",IF(ISBLANK(IMMeter[[#This Row],[Recv Date]]),0,1))</f>
        <v/>
      </c>
      <c r="R115" s="54"/>
    </row>
    <row r="116" spans="1:18" ht="15.6" x14ac:dyDescent="0.3">
      <c r="A116" s="5" t="str">
        <f>IF(ISBLANK(IMMeter[[#This Row],[OpCo2]]),"",COUNTA(IMMeter[[#This Row],[OpCo2]])-(COUNTA(IMMeter[[#This Row],[OpCo2]])-ROW(IMMeter[[#This Row],[OpCo2]])+1))</f>
        <v/>
      </c>
      <c r="B116" s="5"/>
      <c r="C116" s="6"/>
      <c r="D116" s="6"/>
      <c r="E116" s="5"/>
      <c r="F116" s="23"/>
      <c r="G116" s="24"/>
      <c r="H116" s="5" t="str">
        <f>IF(AND(ISBLANK(IMMeter[[#This Row],[Beg Ser]]),ISBLANK(IMMeter[[#This Row],[End Ser]])),"",IMMeter[[#This Row],[End Ser]]-IMMeter[[#This Row],[Beg Ser]]+1)</f>
        <v/>
      </c>
      <c r="I116" s="7"/>
      <c r="J116" s="7"/>
      <c r="K116" s="22"/>
      <c r="L116" s="7"/>
      <c r="M116" s="11"/>
      <c r="N116" s="6"/>
      <c r="O116" s="5"/>
      <c r="P116" s="5"/>
      <c r="Q116" s="5" t="str">
        <f>IF(ISBLANK(IMMeter[[#This Row],[PO Number]]),"",IF(ISBLANK(IMMeter[[#This Row],[Recv Date]]),0,1))</f>
        <v/>
      </c>
      <c r="R116" s="54"/>
    </row>
    <row r="117" spans="1:18" ht="15.6" x14ac:dyDescent="0.3">
      <c r="A117" s="5" t="str">
        <f>IF(ISBLANK(IMMeter[[#This Row],[OpCo2]]),"",COUNTA(IMMeter[[#This Row],[OpCo2]])-(COUNTA(IMMeter[[#This Row],[OpCo2]])-ROW(IMMeter[[#This Row],[OpCo2]])+1))</f>
        <v/>
      </c>
      <c r="B117" s="5"/>
      <c r="C117" s="6"/>
      <c r="D117" s="6"/>
      <c r="E117" s="5"/>
      <c r="F117" s="23"/>
      <c r="G117" s="24"/>
      <c r="H117" s="5" t="str">
        <f>IF(AND(ISBLANK(IMMeter[[#This Row],[Beg Ser]]),ISBLANK(IMMeter[[#This Row],[End Ser]])),"",IMMeter[[#This Row],[End Ser]]-IMMeter[[#This Row],[Beg Ser]]+1)</f>
        <v/>
      </c>
      <c r="I117" s="7"/>
      <c r="J117" s="7"/>
      <c r="K117" s="22"/>
      <c r="L117" s="7"/>
      <c r="M117" s="11"/>
      <c r="N117" s="6"/>
      <c r="O117" s="5"/>
      <c r="P117" s="5"/>
      <c r="Q117" s="5" t="str">
        <f>IF(ISBLANK(IMMeter[[#This Row],[PO Number]]),"",IF(ISBLANK(IMMeter[[#This Row],[Recv Date]]),0,1))</f>
        <v/>
      </c>
      <c r="R117" s="54"/>
    </row>
    <row r="118" spans="1:18" ht="15.6" x14ac:dyDescent="0.3">
      <c r="A118" s="5" t="str">
        <f>IF(ISBLANK(IMMeter[[#This Row],[OpCo2]]),"",COUNTA(IMMeter[[#This Row],[OpCo2]])-(COUNTA(IMMeter[[#This Row],[OpCo2]])-ROW(IMMeter[[#This Row],[OpCo2]])+1))</f>
        <v/>
      </c>
      <c r="B118" s="5"/>
      <c r="C118" s="6"/>
      <c r="D118" s="6"/>
      <c r="E118" s="5"/>
      <c r="F118" s="23"/>
      <c r="G118" s="24"/>
      <c r="H118" s="5" t="str">
        <f>IF(AND(ISBLANK(IMMeter[[#This Row],[Beg Ser]]),ISBLANK(IMMeter[[#This Row],[End Ser]])),"",IMMeter[[#This Row],[End Ser]]-IMMeter[[#This Row],[Beg Ser]]+1)</f>
        <v/>
      </c>
      <c r="I118" s="7"/>
      <c r="J118" s="7"/>
      <c r="K118" s="22"/>
      <c r="L118" s="7"/>
      <c r="M118" s="11"/>
      <c r="N118" s="6"/>
      <c r="O118" s="5"/>
      <c r="P118" s="5"/>
      <c r="Q118" s="5" t="str">
        <f>IF(ISBLANK(IMMeter[[#This Row],[PO Number]]),"",IF(ISBLANK(IMMeter[[#This Row],[Recv Date]]),0,1))</f>
        <v/>
      </c>
      <c r="R118" s="54"/>
    </row>
    <row r="119" spans="1:18" ht="15.6" x14ac:dyDescent="0.3">
      <c r="A119" s="5" t="str">
        <f>IF(ISBLANK(IMMeter[[#This Row],[OpCo2]]),"",COUNTA(IMMeter[[#This Row],[OpCo2]])-(COUNTA(IMMeter[[#This Row],[OpCo2]])-ROW(IMMeter[[#This Row],[OpCo2]])+1))</f>
        <v/>
      </c>
      <c r="B119" s="5"/>
      <c r="C119" s="6"/>
      <c r="D119" s="6"/>
      <c r="E119" s="5"/>
      <c r="F119" s="23"/>
      <c r="G119" s="24"/>
      <c r="H119" s="5" t="str">
        <f>IF(AND(ISBLANK(IMMeter[[#This Row],[Beg Ser]]),ISBLANK(IMMeter[[#This Row],[End Ser]])),"",IMMeter[[#This Row],[End Ser]]-IMMeter[[#This Row],[Beg Ser]]+1)</f>
        <v/>
      </c>
      <c r="I119" s="7"/>
      <c r="J119" s="7"/>
      <c r="K119" s="22"/>
      <c r="L119" s="7"/>
      <c r="M119" s="11"/>
      <c r="N119" s="6"/>
      <c r="O119" s="5"/>
      <c r="P119" s="5"/>
      <c r="Q119" s="5" t="str">
        <f>IF(ISBLANK(IMMeter[[#This Row],[PO Number]]),"",IF(ISBLANK(IMMeter[[#This Row],[Recv Date]]),0,1))</f>
        <v/>
      </c>
      <c r="R119" s="54"/>
    </row>
    <row r="120" spans="1:18" ht="15.6" x14ac:dyDescent="0.3">
      <c r="A120" s="5" t="str">
        <f>IF(ISBLANK(IMMeter[[#This Row],[OpCo2]]),"",COUNTA(IMMeter[[#This Row],[OpCo2]])-(COUNTA(IMMeter[[#This Row],[OpCo2]])-ROW(IMMeter[[#This Row],[OpCo2]])+1))</f>
        <v/>
      </c>
      <c r="B120" s="5"/>
      <c r="C120" s="6"/>
      <c r="D120" s="6"/>
      <c r="E120" s="5"/>
      <c r="F120" s="23"/>
      <c r="G120" s="24"/>
      <c r="H120" s="5" t="str">
        <f>IF(AND(ISBLANK(IMMeter[[#This Row],[Beg Ser]]),ISBLANK(IMMeter[[#This Row],[End Ser]])),"",IMMeter[[#This Row],[End Ser]]-IMMeter[[#This Row],[Beg Ser]]+1)</f>
        <v/>
      </c>
      <c r="I120" s="7"/>
      <c r="J120" s="7"/>
      <c r="K120" s="22"/>
      <c r="L120" s="7"/>
      <c r="M120" s="11"/>
      <c r="N120" s="6"/>
      <c r="O120" s="5"/>
      <c r="P120" s="5"/>
      <c r="Q120" s="5" t="str">
        <f>IF(ISBLANK(IMMeter[[#This Row],[PO Number]]),"",IF(ISBLANK(IMMeter[[#This Row],[Recv Date]]),0,1))</f>
        <v/>
      </c>
      <c r="R120" s="54"/>
    </row>
    <row r="121" spans="1:18" ht="15.6" x14ac:dyDescent="0.3">
      <c r="A121" s="5" t="str">
        <f>IF(ISBLANK(IMMeter[[#This Row],[OpCo2]]),"",COUNTA(IMMeter[[#This Row],[OpCo2]])-(COUNTA(IMMeter[[#This Row],[OpCo2]])-ROW(IMMeter[[#This Row],[OpCo2]])+1))</f>
        <v/>
      </c>
      <c r="B121" s="5"/>
      <c r="C121" s="6"/>
      <c r="D121" s="6"/>
      <c r="E121" s="5"/>
      <c r="F121" s="23"/>
      <c r="G121" s="24"/>
      <c r="H121" s="5" t="str">
        <f>IF(AND(ISBLANK(IMMeter[[#This Row],[Beg Ser]]),ISBLANK(IMMeter[[#This Row],[End Ser]])),"",IMMeter[[#This Row],[End Ser]]-IMMeter[[#This Row],[Beg Ser]]+1)</f>
        <v/>
      </c>
      <c r="I121" s="7"/>
      <c r="J121" s="7"/>
      <c r="K121" s="22"/>
      <c r="L121" s="7"/>
      <c r="M121" s="11"/>
      <c r="N121" s="6"/>
      <c r="O121" s="5"/>
      <c r="P121" s="5"/>
      <c r="Q121" s="5" t="str">
        <f>IF(ISBLANK(IMMeter[[#This Row],[PO Number]]),"",IF(ISBLANK(IMMeter[[#This Row],[Recv Date]]),0,1))</f>
        <v/>
      </c>
      <c r="R121" s="54"/>
    </row>
    <row r="122" spans="1:18" ht="15.6" x14ac:dyDescent="0.3">
      <c r="A122" s="5" t="str">
        <f>IF(ISBLANK(IMMeter[[#This Row],[OpCo2]]),"",COUNTA(IMMeter[[#This Row],[OpCo2]])-(COUNTA(IMMeter[[#This Row],[OpCo2]])-ROW(IMMeter[[#This Row],[OpCo2]])+1))</f>
        <v/>
      </c>
      <c r="B122" s="5"/>
      <c r="C122" s="6"/>
      <c r="D122" s="6"/>
      <c r="E122" s="5"/>
      <c r="F122" s="23"/>
      <c r="G122" s="24"/>
      <c r="H122" s="5" t="str">
        <f>IF(AND(ISBLANK(IMMeter[[#This Row],[Beg Ser]]),ISBLANK(IMMeter[[#This Row],[End Ser]])),"",IMMeter[[#This Row],[End Ser]]-IMMeter[[#This Row],[Beg Ser]]+1)</f>
        <v/>
      </c>
      <c r="I122" s="7"/>
      <c r="J122" s="7"/>
      <c r="K122" s="22"/>
      <c r="L122" s="7"/>
      <c r="M122" s="11"/>
      <c r="N122" s="6"/>
      <c r="O122" s="5"/>
      <c r="P122" s="5"/>
      <c r="Q122" s="5" t="str">
        <f>IF(ISBLANK(IMMeter[[#This Row],[PO Number]]),"",IF(ISBLANK(IMMeter[[#This Row],[Recv Date]]),0,1))</f>
        <v/>
      </c>
      <c r="R122" s="54"/>
    </row>
    <row r="123" spans="1:18" ht="15.6" x14ac:dyDescent="0.3">
      <c r="A123" s="5" t="str">
        <f>IF(ISBLANK(IMMeter[[#This Row],[OpCo2]]),"",COUNTA(IMMeter[[#This Row],[OpCo2]])-(COUNTA(IMMeter[[#This Row],[OpCo2]])-ROW(IMMeter[[#This Row],[OpCo2]])+1))</f>
        <v/>
      </c>
      <c r="B123" s="5"/>
      <c r="C123" s="6"/>
      <c r="D123" s="6"/>
      <c r="E123" s="5"/>
      <c r="F123" s="23"/>
      <c r="G123" s="24"/>
      <c r="H123" s="5" t="str">
        <f>IF(AND(ISBLANK(IMMeter[[#This Row],[Beg Ser]]),ISBLANK(IMMeter[[#This Row],[End Ser]])),"",IMMeter[[#This Row],[End Ser]]-IMMeter[[#This Row],[Beg Ser]]+1)</f>
        <v/>
      </c>
      <c r="I123" s="7"/>
      <c r="J123" s="7"/>
      <c r="K123" s="22"/>
      <c r="L123" s="7"/>
      <c r="M123" s="11"/>
      <c r="N123" s="6"/>
      <c r="O123" s="5"/>
      <c r="P123" s="5"/>
      <c r="Q123" s="5" t="str">
        <f>IF(ISBLANK(IMMeter[[#This Row],[PO Number]]),"",IF(ISBLANK(IMMeter[[#This Row],[Recv Date]]),0,1))</f>
        <v/>
      </c>
      <c r="R123" s="54"/>
    </row>
    <row r="124" spans="1:18" ht="15.6" x14ac:dyDescent="0.3">
      <c r="A124" s="5" t="str">
        <f>IF(ISBLANK(IMMeter[[#This Row],[OpCo2]]),"",COUNTA(IMMeter[[#This Row],[OpCo2]])-(COUNTA(IMMeter[[#This Row],[OpCo2]])-ROW(IMMeter[[#This Row],[OpCo2]])+1))</f>
        <v/>
      </c>
      <c r="B124" s="5"/>
      <c r="C124" s="6"/>
      <c r="D124" s="6"/>
      <c r="E124" s="5"/>
      <c r="F124" s="23"/>
      <c r="G124" s="24"/>
      <c r="H124" s="5" t="str">
        <f>IF(AND(ISBLANK(IMMeter[[#This Row],[Beg Ser]]),ISBLANK(IMMeter[[#This Row],[End Ser]])),"",IMMeter[[#This Row],[End Ser]]-IMMeter[[#This Row],[Beg Ser]]+1)</f>
        <v/>
      </c>
      <c r="I124" s="7"/>
      <c r="J124" s="7"/>
      <c r="K124" s="22"/>
      <c r="L124" s="7"/>
      <c r="M124" s="11"/>
      <c r="N124" s="6"/>
      <c r="O124" s="5"/>
      <c r="P124" s="5"/>
      <c r="Q124" s="5" t="str">
        <f>IF(ISBLANK(IMMeter[[#This Row],[PO Number]]),"",IF(ISBLANK(IMMeter[[#This Row],[Recv Date]]),0,1))</f>
        <v/>
      </c>
      <c r="R124" s="54"/>
    </row>
    <row r="125" spans="1:18" ht="15.6" x14ac:dyDescent="0.3">
      <c r="A125" s="5" t="str">
        <f>IF(ISBLANK(IMMeter[[#This Row],[OpCo2]]),"",COUNTA(IMMeter[[#This Row],[OpCo2]])-(COUNTA(IMMeter[[#This Row],[OpCo2]])-ROW(IMMeter[[#This Row],[OpCo2]])+1))</f>
        <v/>
      </c>
      <c r="B125" s="5"/>
      <c r="C125" s="6"/>
      <c r="D125" s="6"/>
      <c r="E125" s="5"/>
      <c r="F125" s="23"/>
      <c r="G125" s="24"/>
      <c r="H125" s="5" t="str">
        <f>IF(AND(ISBLANK(IMMeter[[#This Row],[Beg Ser]]),ISBLANK(IMMeter[[#This Row],[End Ser]])),"",IMMeter[[#This Row],[End Ser]]-IMMeter[[#This Row],[Beg Ser]]+1)</f>
        <v/>
      </c>
      <c r="I125" s="7"/>
      <c r="J125" s="7"/>
      <c r="K125" s="22"/>
      <c r="L125" s="7"/>
      <c r="M125" s="11"/>
      <c r="N125" s="6"/>
      <c r="O125" s="5"/>
      <c r="P125" s="5"/>
      <c r="Q125" s="5" t="str">
        <f>IF(ISBLANK(IMMeter[[#This Row],[PO Number]]),"",IF(ISBLANK(IMMeter[[#This Row],[Recv Date]]),0,1))</f>
        <v/>
      </c>
      <c r="R125" s="54"/>
    </row>
    <row r="126" spans="1:18" ht="15.6" x14ac:dyDescent="0.3">
      <c r="A126" s="5" t="str">
        <f>IF(ISBLANK(IMMeter[[#This Row],[OpCo2]]),"",COUNTA(IMMeter[[#This Row],[OpCo2]])-(COUNTA(IMMeter[[#This Row],[OpCo2]])-ROW(IMMeter[[#This Row],[OpCo2]])+1))</f>
        <v/>
      </c>
      <c r="B126" s="5"/>
      <c r="C126" s="6"/>
      <c r="D126" s="6"/>
      <c r="E126" s="5"/>
      <c r="F126" s="23"/>
      <c r="G126" s="24"/>
      <c r="H126" s="5" t="str">
        <f>IF(AND(ISBLANK(IMMeter[[#This Row],[Beg Ser]]),ISBLANK(IMMeter[[#This Row],[End Ser]])),"",IMMeter[[#This Row],[End Ser]]-IMMeter[[#This Row],[Beg Ser]]+1)</f>
        <v/>
      </c>
      <c r="I126" s="7"/>
      <c r="J126" s="7"/>
      <c r="K126" s="22"/>
      <c r="L126" s="7"/>
      <c r="M126" s="11"/>
      <c r="N126" s="6"/>
      <c r="O126" s="5"/>
      <c r="P126" s="5"/>
      <c r="Q126" s="5" t="str">
        <f>IF(ISBLANK(IMMeter[[#This Row],[PO Number]]),"",IF(ISBLANK(IMMeter[[#This Row],[Recv Date]]),0,1))</f>
        <v/>
      </c>
      <c r="R126" s="54"/>
    </row>
    <row r="127" spans="1:18" ht="15.6" x14ac:dyDescent="0.3">
      <c r="A127" s="5" t="str">
        <f>IF(ISBLANK(IMMeter[[#This Row],[OpCo2]]),"",COUNTA(IMMeter[[#This Row],[OpCo2]])-(COUNTA(IMMeter[[#This Row],[OpCo2]])-ROW(IMMeter[[#This Row],[OpCo2]])+1))</f>
        <v/>
      </c>
      <c r="B127" s="5"/>
      <c r="C127" s="6"/>
      <c r="D127" s="6"/>
      <c r="E127" s="5"/>
      <c r="F127" s="23"/>
      <c r="G127" s="24"/>
      <c r="H127" s="5" t="str">
        <f>IF(AND(ISBLANK(IMMeter[[#This Row],[Beg Ser]]),ISBLANK(IMMeter[[#This Row],[End Ser]])),"",IMMeter[[#This Row],[End Ser]]-IMMeter[[#This Row],[Beg Ser]]+1)</f>
        <v/>
      </c>
      <c r="I127" s="7"/>
      <c r="J127" s="7"/>
      <c r="K127" s="22"/>
      <c r="L127" s="7"/>
      <c r="M127" s="11"/>
      <c r="N127" s="6"/>
      <c r="O127" s="5"/>
      <c r="P127" s="5"/>
      <c r="Q127" s="5" t="str">
        <f>IF(ISBLANK(IMMeter[[#This Row],[PO Number]]),"",IF(ISBLANK(IMMeter[[#This Row],[Recv Date]]),0,1))</f>
        <v/>
      </c>
      <c r="R127" s="54"/>
    </row>
    <row r="128" spans="1:18" ht="15.6" x14ac:dyDescent="0.3">
      <c r="A128" s="5" t="str">
        <f>IF(ISBLANK(IMMeter[[#This Row],[OpCo2]]),"",COUNTA(IMMeter[[#This Row],[OpCo2]])-(COUNTA(IMMeter[[#This Row],[OpCo2]])-ROW(IMMeter[[#This Row],[OpCo2]])+1))</f>
        <v/>
      </c>
      <c r="B128" s="5"/>
      <c r="C128" s="6"/>
      <c r="D128" s="6"/>
      <c r="E128" s="5"/>
      <c r="F128" s="23"/>
      <c r="G128" s="24"/>
      <c r="H128" s="5" t="str">
        <f>IF(AND(ISBLANK(IMMeter[[#This Row],[Beg Ser]]),ISBLANK(IMMeter[[#This Row],[End Ser]])),"",IMMeter[[#This Row],[End Ser]]-IMMeter[[#This Row],[Beg Ser]]+1)</f>
        <v/>
      </c>
      <c r="I128" s="7"/>
      <c r="J128" s="7"/>
      <c r="K128" s="22"/>
      <c r="L128" s="7"/>
      <c r="M128" s="11"/>
      <c r="N128" s="6"/>
      <c r="O128" s="5"/>
      <c r="P128" s="5"/>
      <c r="Q128" s="5" t="str">
        <f>IF(ISBLANK(IMMeter[[#This Row],[PO Number]]),"",IF(ISBLANK(IMMeter[[#This Row],[Recv Date]]),0,1))</f>
        <v/>
      </c>
      <c r="R128" s="54"/>
    </row>
    <row r="129" spans="1:18" ht="15.6" x14ac:dyDescent="0.3">
      <c r="A129" s="5" t="str">
        <f>IF(ISBLANK(IMMeter[[#This Row],[OpCo2]]),"",COUNTA(IMMeter[[#This Row],[OpCo2]])-(COUNTA(IMMeter[[#This Row],[OpCo2]])-ROW(IMMeter[[#This Row],[OpCo2]])+1))</f>
        <v/>
      </c>
      <c r="B129" s="5"/>
      <c r="C129" s="6"/>
      <c r="D129" s="6"/>
      <c r="E129" s="5"/>
      <c r="F129" s="23"/>
      <c r="G129" s="24"/>
      <c r="H129" s="5" t="str">
        <f>IF(AND(ISBLANK(IMMeter[[#This Row],[Beg Ser]]),ISBLANK(IMMeter[[#This Row],[End Ser]])),"",IMMeter[[#This Row],[End Ser]]-IMMeter[[#This Row],[Beg Ser]]+1)</f>
        <v/>
      </c>
      <c r="I129" s="7"/>
      <c r="J129" s="7"/>
      <c r="K129" s="22"/>
      <c r="L129" s="7"/>
      <c r="M129" s="11"/>
      <c r="N129" s="6"/>
      <c r="O129" s="5"/>
      <c r="P129" s="5"/>
      <c r="Q129" s="5" t="str">
        <f>IF(ISBLANK(IMMeter[[#This Row],[PO Number]]),"",IF(ISBLANK(IMMeter[[#This Row],[Recv Date]]),0,1))</f>
        <v/>
      </c>
      <c r="R129" s="54"/>
    </row>
    <row r="130" spans="1:18" ht="15.6" x14ac:dyDescent="0.3">
      <c r="A130" s="5" t="str">
        <f>IF(ISBLANK(IMMeter[[#This Row],[OpCo2]]),"",COUNTA(IMMeter[[#This Row],[OpCo2]])-(COUNTA(IMMeter[[#This Row],[OpCo2]])-ROW(IMMeter[[#This Row],[OpCo2]])+1))</f>
        <v/>
      </c>
      <c r="B130" s="5"/>
      <c r="C130" s="6"/>
      <c r="D130" s="6"/>
      <c r="E130" s="5"/>
      <c r="F130" s="23"/>
      <c r="G130" s="24"/>
      <c r="H130" s="5" t="str">
        <f>IF(AND(ISBLANK(IMMeter[[#This Row],[Beg Ser]]),ISBLANK(IMMeter[[#This Row],[End Ser]])),"",IMMeter[[#This Row],[End Ser]]-IMMeter[[#This Row],[Beg Ser]]+1)</f>
        <v/>
      </c>
      <c r="I130" s="7"/>
      <c r="J130" s="7"/>
      <c r="K130" s="22"/>
      <c r="L130" s="7"/>
      <c r="M130" s="11"/>
      <c r="N130" s="6"/>
      <c r="O130" s="5"/>
      <c r="P130" s="5"/>
      <c r="Q130" s="5" t="str">
        <f>IF(ISBLANK(IMMeter[[#This Row],[PO Number]]),"",IF(ISBLANK(IMMeter[[#This Row],[Recv Date]]),0,1))</f>
        <v/>
      </c>
      <c r="R130" s="54"/>
    </row>
    <row r="131" spans="1:18" ht="15.6" x14ac:dyDescent="0.3">
      <c r="A131" s="5" t="str">
        <f>IF(ISBLANK(IMMeter[[#This Row],[OpCo2]]),"",COUNTA(IMMeter[[#This Row],[OpCo2]])-(COUNTA(IMMeter[[#This Row],[OpCo2]])-ROW(IMMeter[[#This Row],[OpCo2]])+1))</f>
        <v/>
      </c>
      <c r="B131" s="5"/>
      <c r="C131" s="6"/>
      <c r="D131" s="6"/>
      <c r="E131" s="5"/>
      <c r="F131" s="23"/>
      <c r="G131" s="24"/>
      <c r="H131" s="5" t="str">
        <f>IF(AND(ISBLANK(IMMeter[[#This Row],[Beg Ser]]),ISBLANK(IMMeter[[#This Row],[End Ser]])),"",IMMeter[[#This Row],[End Ser]]-IMMeter[[#This Row],[Beg Ser]]+1)</f>
        <v/>
      </c>
      <c r="I131" s="7"/>
      <c r="J131" s="7"/>
      <c r="K131" s="22"/>
      <c r="L131" s="7"/>
      <c r="M131" s="11"/>
      <c r="N131" s="6"/>
      <c r="O131" s="5"/>
      <c r="P131" s="5"/>
      <c r="Q131" s="5" t="str">
        <f>IF(ISBLANK(IMMeter[[#This Row],[PO Number]]),"",IF(ISBLANK(IMMeter[[#This Row],[Recv Date]]),0,1))</f>
        <v/>
      </c>
      <c r="R131" s="54"/>
    </row>
    <row r="132" spans="1:18" ht="15.6" x14ac:dyDescent="0.3">
      <c r="A132" s="5" t="str">
        <f>IF(ISBLANK(IMMeter[[#This Row],[OpCo2]]),"",COUNTA(IMMeter[[#This Row],[OpCo2]])-(COUNTA(IMMeter[[#This Row],[OpCo2]])-ROW(IMMeter[[#This Row],[OpCo2]])+1))</f>
        <v/>
      </c>
      <c r="B132" s="5"/>
      <c r="C132" s="6"/>
      <c r="D132" s="6"/>
      <c r="E132" s="5"/>
      <c r="F132" s="23"/>
      <c r="G132" s="24"/>
      <c r="H132" s="5" t="str">
        <f>IF(AND(ISBLANK(IMMeter[[#This Row],[Beg Ser]]),ISBLANK(IMMeter[[#This Row],[End Ser]])),"",IMMeter[[#This Row],[End Ser]]-IMMeter[[#This Row],[Beg Ser]]+1)</f>
        <v/>
      </c>
      <c r="I132" s="7"/>
      <c r="J132" s="7"/>
      <c r="K132" s="22"/>
      <c r="L132" s="7"/>
      <c r="M132" s="11"/>
      <c r="N132" s="6"/>
      <c r="O132" s="5"/>
      <c r="P132" s="5"/>
      <c r="Q132" s="5" t="str">
        <f>IF(ISBLANK(IMMeter[[#This Row],[PO Number]]),"",IF(ISBLANK(IMMeter[[#This Row],[Recv Date]]),0,1))</f>
        <v/>
      </c>
      <c r="R132" s="54"/>
    </row>
    <row r="133" spans="1:18" ht="15.6" x14ac:dyDescent="0.3">
      <c r="A133" s="5" t="str">
        <f>IF(ISBLANK(IMMeter[[#This Row],[OpCo2]]),"",COUNTA(IMMeter[[#This Row],[OpCo2]])-(COUNTA(IMMeter[[#This Row],[OpCo2]])-ROW(IMMeter[[#This Row],[OpCo2]])+1))</f>
        <v/>
      </c>
      <c r="B133" s="5"/>
      <c r="C133" s="6"/>
      <c r="D133" s="6"/>
      <c r="E133" s="5"/>
      <c r="F133" s="23"/>
      <c r="G133" s="24"/>
      <c r="H133" s="5" t="str">
        <f>IF(AND(ISBLANK(IMMeter[[#This Row],[Beg Ser]]),ISBLANK(IMMeter[[#This Row],[End Ser]])),"",IMMeter[[#This Row],[End Ser]]-IMMeter[[#This Row],[Beg Ser]]+1)</f>
        <v/>
      </c>
      <c r="I133" s="7"/>
      <c r="J133" s="7"/>
      <c r="K133" s="22"/>
      <c r="L133" s="7"/>
      <c r="M133" s="11"/>
      <c r="N133" s="6"/>
      <c r="O133" s="5"/>
      <c r="P133" s="5"/>
      <c r="Q133" s="5" t="str">
        <f>IF(ISBLANK(IMMeter[[#This Row],[PO Number]]),"",IF(ISBLANK(IMMeter[[#This Row],[Recv Date]]),0,1))</f>
        <v/>
      </c>
      <c r="R133" s="54"/>
    </row>
    <row r="134" spans="1:18" ht="15.6" x14ac:dyDescent="0.3">
      <c r="A134" s="5" t="str">
        <f>IF(ISBLANK(IMMeter[[#This Row],[OpCo2]]),"",COUNTA(IMMeter[[#This Row],[OpCo2]])-(COUNTA(IMMeter[[#This Row],[OpCo2]])-ROW(IMMeter[[#This Row],[OpCo2]])+1))</f>
        <v/>
      </c>
      <c r="B134" s="5"/>
      <c r="C134" s="6"/>
      <c r="D134" s="6"/>
      <c r="E134" s="5"/>
      <c r="F134" s="23"/>
      <c r="G134" s="24"/>
      <c r="H134" s="5" t="str">
        <f>IF(AND(ISBLANK(IMMeter[[#This Row],[Beg Ser]]),ISBLANK(IMMeter[[#This Row],[End Ser]])),"",IMMeter[[#This Row],[End Ser]]-IMMeter[[#This Row],[Beg Ser]]+1)</f>
        <v/>
      </c>
      <c r="I134" s="7"/>
      <c r="J134" s="7"/>
      <c r="K134" s="22"/>
      <c r="L134" s="7"/>
      <c r="M134" s="11"/>
      <c r="N134" s="6"/>
      <c r="O134" s="5"/>
      <c r="P134" s="5"/>
      <c r="Q134" s="5" t="str">
        <f>IF(ISBLANK(IMMeter[[#This Row],[PO Number]]),"",IF(ISBLANK(IMMeter[[#This Row],[Recv Date]]),0,1))</f>
        <v/>
      </c>
      <c r="R134" s="54"/>
    </row>
    <row r="135" spans="1:18" ht="15.6" x14ac:dyDescent="0.3">
      <c r="A135" s="5" t="str">
        <f>IF(ISBLANK(IMMeter[[#This Row],[OpCo2]]),"",COUNTA(IMMeter[[#This Row],[OpCo2]])-(COUNTA(IMMeter[[#This Row],[OpCo2]])-ROW(IMMeter[[#This Row],[OpCo2]])+1))</f>
        <v/>
      </c>
      <c r="B135" s="5"/>
      <c r="C135" s="6"/>
      <c r="D135" s="6"/>
      <c r="E135" s="5"/>
      <c r="F135" s="23"/>
      <c r="G135" s="24"/>
      <c r="H135" s="5" t="str">
        <f>IF(AND(ISBLANK(IMMeter[[#This Row],[Beg Ser]]),ISBLANK(IMMeter[[#This Row],[End Ser]])),"",IMMeter[[#This Row],[End Ser]]-IMMeter[[#This Row],[Beg Ser]]+1)</f>
        <v/>
      </c>
      <c r="I135" s="7"/>
      <c r="J135" s="7"/>
      <c r="K135" s="22"/>
      <c r="L135" s="7"/>
      <c r="M135" s="11"/>
      <c r="N135" s="6"/>
      <c r="O135" s="5"/>
      <c r="P135" s="5"/>
      <c r="Q135" s="5" t="str">
        <f>IF(ISBLANK(IMMeter[[#This Row],[PO Number]]),"",IF(ISBLANK(IMMeter[[#This Row],[Recv Date]]),0,1))</f>
        <v/>
      </c>
      <c r="R135" s="54"/>
    </row>
    <row r="136" spans="1:18" ht="15.6" x14ac:dyDescent="0.3">
      <c r="A136" s="5" t="str">
        <f>IF(ISBLANK(IMMeter[[#This Row],[OpCo2]]),"",COUNTA(IMMeter[[#This Row],[OpCo2]])-(COUNTA(IMMeter[[#This Row],[OpCo2]])-ROW(IMMeter[[#This Row],[OpCo2]])+1))</f>
        <v/>
      </c>
      <c r="B136" s="5"/>
      <c r="C136" s="6"/>
      <c r="D136" s="6"/>
      <c r="E136" s="5"/>
      <c r="F136" s="23"/>
      <c r="G136" s="24"/>
      <c r="H136" s="5" t="str">
        <f>IF(AND(ISBLANK(IMMeter[[#This Row],[Beg Ser]]),ISBLANK(IMMeter[[#This Row],[End Ser]])),"",IMMeter[[#This Row],[End Ser]]-IMMeter[[#This Row],[Beg Ser]]+1)</f>
        <v/>
      </c>
      <c r="I136" s="7"/>
      <c r="J136" s="7"/>
      <c r="K136" s="22"/>
      <c r="L136" s="7"/>
      <c r="M136" s="11"/>
      <c r="N136" s="6"/>
      <c r="O136" s="5"/>
      <c r="P136" s="5"/>
      <c r="Q136" s="5" t="str">
        <f>IF(ISBLANK(IMMeter[[#This Row],[PO Number]]),"",IF(ISBLANK(IMMeter[[#This Row],[Recv Date]]),0,1))</f>
        <v/>
      </c>
      <c r="R136" s="54"/>
    </row>
    <row r="137" spans="1:18" ht="15.6" x14ac:dyDescent="0.3">
      <c r="A137" s="5" t="str">
        <f>IF(ISBLANK(IMMeter[[#This Row],[OpCo2]]),"",COUNTA(IMMeter[[#This Row],[OpCo2]])-(COUNTA(IMMeter[[#This Row],[OpCo2]])-ROW(IMMeter[[#This Row],[OpCo2]])+1))</f>
        <v/>
      </c>
      <c r="B137" s="5"/>
      <c r="C137" s="6"/>
      <c r="D137" s="6"/>
      <c r="E137" s="5"/>
      <c r="F137" s="23"/>
      <c r="G137" s="24"/>
      <c r="H137" s="5" t="str">
        <f>IF(AND(ISBLANK(IMMeter[[#This Row],[Beg Ser]]),ISBLANK(IMMeter[[#This Row],[End Ser]])),"",IMMeter[[#This Row],[End Ser]]-IMMeter[[#This Row],[Beg Ser]]+1)</f>
        <v/>
      </c>
      <c r="I137" s="7"/>
      <c r="J137" s="7"/>
      <c r="K137" s="22"/>
      <c r="L137" s="7"/>
      <c r="M137" s="11"/>
      <c r="N137" s="6"/>
      <c r="O137" s="5"/>
      <c r="P137" s="5"/>
      <c r="Q137" s="5" t="str">
        <f>IF(ISBLANK(IMMeter[[#This Row],[PO Number]]),"",IF(ISBLANK(IMMeter[[#This Row],[Recv Date]]),0,1))</f>
        <v/>
      </c>
      <c r="R137" s="54"/>
    </row>
    <row r="138" spans="1:18" ht="15.6" x14ac:dyDescent="0.3">
      <c r="A138" s="5" t="str">
        <f>IF(ISBLANK(IMMeter[[#This Row],[OpCo2]]),"",COUNTA(IMMeter[[#This Row],[OpCo2]])-(COUNTA(IMMeter[[#This Row],[OpCo2]])-ROW(IMMeter[[#This Row],[OpCo2]])+1))</f>
        <v/>
      </c>
      <c r="B138" s="5"/>
      <c r="C138" s="6"/>
      <c r="D138" s="6"/>
      <c r="E138" s="5"/>
      <c r="F138" s="23"/>
      <c r="G138" s="24"/>
      <c r="H138" s="5" t="str">
        <f>IF(AND(ISBLANK(IMMeter[[#This Row],[Beg Ser]]),ISBLANK(IMMeter[[#This Row],[End Ser]])),"",IMMeter[[#This Row],[End Ser]]-IMMeter[[#This Row],[Beg Ser]]+1)</f>
        <v/>
      </c>
      <c r="I138" s="7"/>
      <c r="J138" s="7"/>
      <c r="K138" s="22"/>
      <c r="L138" s="7"/>
      <c r="M138" s="11"/>
      <c r="N138" s="6"/>
      <c r="O138" s="5"/>
      <c r="P138" s="5"/>
      <c r="Q138" s="5" t="str">
        <f>IF(ISBLANK(IMMeter[[#This Row],[PO Number]]),"",IF(ISBLANK(IMMeter[[#This Row],[Recv Date]]),0,1))</f>
        <v/>
      </c>
      <c r="R138" s="54"/>
    </row>
    <row r="139" spans="1:18" ht="15.6" x14ac:dyDescent="0.3">
      <c r="A139" s="5" t="str">
        <f>IF(ISBLANK(IMMeter[[#This Row],[OpCo2]]),"",COUNTA(IMMeter[[#This Row],[OpCo2]])-(COUNTA(IMMeter[[#This Row],[OpCo2]])-ROW(IMMeter[[#This Row],[OpCo2]])+1))</f>
        <v/>
      </c>
      <c r="B139" s="5"/>
      <c r="C139" s="6"/>
      <c r="D139" s="6"/>
      <c r="E139" s="5"/>
      <c r="F139" s="23"/>
      <c r="G139" s="24"/>
      <c r="H139" s="5" t="str">
        <f>IF(AND(ISBLANK(IMMeter[[#This Row],[Beg Ser]]),ISBLANK(IMMeter[[#This Row],[End Ser]])),"",IMMeter[[#This Row],[End Ser]]-IMMeter[[#This Row],[Beg Ser]]+1)</f>
        <v/>
      </c>
      <c r="I139" s="7"/>
      <c r="J139" s="7"/>
      <c r="K139" s="22"/>
      <c r="L139" s="7"/>
      <c r="M139" s="11"/>
      <c r="N139" s="6"/>
      <c r="O139" s="5"/>
      <c r="P139" s="5"/>
      <c r="Q139" s="5" t="str">
        <f>IF(ISBLANK(IMMeter[[#This Row],[PO Number]]),"",IF(ISBLANK(IMMeter[[#This Row],[Recv Date]]),0,1))</f>
        <v/>
      </c>
      <c r="R139" s="54"/>
    </row>
    <row r="140" spans="1:18" ht="15.6" x14ac:dyDescent="0.3">
      <c r="A140" s="5" t="str">
        <f>IF(ISBLANK(IMMeter[[#This Row],[OpCo2]]),"",COUNTA(IMMeter[[#This Row],[OpCo2]])-(COUNTA(IMMeter[[#This Row],[OpCo2]])-ROW(IMMeter[[#This Row],[OpCo2]])+1))</f>
        <v/>
      </c>
      <c r="B140" s="5"/>
      <c r="C140" s="6"/>
      <c r="D140" s="6"/>
      <c r="E140" s="5"/>
      <c r="F140" s="23"/>
      <c r="G140" s="24"/>
      <c r="H140" s="5" t="str">
        <f>IF(AND(ISBLANK(IMMeter[[#This Row],[Beg Ser]]),ISBLANK(IMMeter[[#This Row],[End Ser]])),"",IMMeter[[#This Row],[End Ser]]-IMMeter[[#This Row],[Beg Ser]]+1)</f>
        <v/>
      </c>
      <c r="I140" s="7"/>
      <c r="J140" s="7"/>
      <c r="K140" s="22"/>
      <c r="L140" s="7"/>
      <c r="M140" s="11"/>
      <c r="N140" s="6"/>
      <c r="O140" s="5"/>
      <c r="P140" s="5"/>
      <c r="Q140" s="5" t="str">
        <f>IF(ISBLANK(IMMeter[[#This Row],[PO Number]]),"",IF(ISBLANK(IMMeter[[#This Row],[Recv Date]]),0,1))</f>
        <v/>
      </c>
      <c r="R140" s="54"/>
    </row>
    <row r="141" spans="1:18" ht="15.6" x14ac:dyDescent="0.3">
      <c r="A141" s="5" t="str">
        <f>IF(ISBLANK(IMMeter[[#This Row],[OpCo2]]),"",COUNTA(IMMeter[[#This Row],[OpCo2]])-(COUNTA(IMMeter[[#This Row],[OpCo2]])-ROW(IMMeter[[#This Row],[OpCo2]])+1))</f>
        <v/>
      </c>
      <c r="B141" s="5"/>
      <c r="C141" s="6"/>
      <c r="D141" s="6"/>
      <c r="E141" s="5"/>
      <c r="F141" s="23"/>
      <c r="G141" s="24"/>
      <c r="H141" s="5" t="str">
        <f>IF(AND(ISBLANK(IMMeter[[#This Row],[Beg Ser]]),ISBLANK(IMMeter[[#This Row],[End Ser]])),"",IMMeter[[#This Row],[End Ser]]-IMMeter[[#This Row],[Beg Ser]]+1)</f>
        <v/>
      </c>
      <c r="I141" s="7"/>
      <c r="J141" s="7"/>
      <c r="K141" s="22"/>
      <c r="L141" s="7"/>
      <c r="M141" s="11"/>
      <c r="N141" s="6"/>
      <c r="O141" s="5"/>
      <c r="P141" s="5"/>
      <c r="Q141" s="5" t="str">
        <f>IF(ISBLANK(IMMeter[[#This Row],[PO Number]]),"",IF(ISBLANK(IMMeter[[#This Row],[Recv Date]]),0,1))</f>
        <v/>
      </c>
      <c r="R141" s="54"/>
    </row>
    <row r="142" spans="1:18" ht="15.6" x14ac:dyDescent="0.3">
      <c r="A142" s="5" t="str">
        <f>IF(ISBLANK(IMMeter[[#This Row],[OpCo2]]),"",COUNTA(IMMeter[[#This Row],[OpCo2]])-(COUNTA(IMMeter[[#This Row],[OpCo2]])-ROW(IMMeter[[#This Row],[OpCo2]])+1))</f>
        <v/>
      </c>
      <c r="B142" s="5"/>
      <c r="C142" s="6"/>
      <c r="D142" s="6"/>
      <c r="E142" s="5"/>
      <c r="F142" s="23"/>
      <c r="G142" s="24"/>
      <c r="H142" s="5" t="str">
        <f>IF(AND(ISBLANK(IMMeter[[#This Row],[Beg Ser]]),ISBLANK(IMMeter[[#This Row],[End Ser]])),"",IMMeter[[#This Row],[End Ser]]-IMMeter[[#This Row],[Beg Ser]]+1)</f>
        <v/>
      </c>
      <c r="I142" s="7"/>
      <c r="J142" s="7"/>
      <c r="K142" s="22"/>
      <c r="L142" s="7"/>
      <c r="M142" s="11"/>
      <c r="N142" s="6"/>
      <c r="O142" s="5"/>
      <c r="P142" s="5"/>
      <c r="Q142" s="5" t="str">
        <f>IF(ISBLANK(IMMeter[[#This Row],[PO Number]]),"",IF(ISBLANK(IMMeter[[#This Row],[Recv Date]]),0,1))</f>
        <v/>
      </c>
      <c r="R142" s="54"/>
    </row>
    <row r="143" spans="1:18" ht="15.6" x14ac:dyDescent="0.3">
      <c r="A143" s="5" t="str">
        <f>IF(ISBLANK(IMMeter[[#This Row],[OpCo2]]),"",COUNTA(IMMeter[[#This Row],[OpCo2]])-(COUNTA(IMMeter[[#This Row],[OpCo2]])-ROW(IMMeter[[#This Row],[OpCo2]])+1))</f>
        <v/>
      </c>
      <c r="B143" s="5"/>
      <c r="C143" s="6"/>
      <c r="D143" s="6"/>
      <c r="E143" s="5"/>
      <c r="F143" s="23"/>
      <c r="G143" s="24"/>
      <c r="H143" s="5" t="str">
        <f>IF(AND(ISBLANK(IMMeter[[#This Row],[Beg Ser]]),ISBLANK(IMMeter[[#This Row],[End Ser]])),"",IMMeter[[#This Row],[End Ser]]-IMMeter[[#This Row],[Beg Ser]]+1)</f>
        <v/>
      </c>
      <c r="I143" s="7"/>
      <c r="J143" s="7"/>
      <c r="K143" s="22"/>
      <c r="L143" s="7"/>
      <c r="M143" s="11"/>
      <c r="N143" s="6"/>
      <c r="O143" s="5"/>
      <c r="P143" s="5"/>
      <c r="Q143" s="5" t="str">
        <f>IF(ISBLANK(IMMeter[[#This Row],[PO Number]]),"",IF(ISBLANK(IMMeter[[#This Row],[Recv Date]]),0,1))</f>
        <v/>
      </c>
      <c r="R143" s="54"/>
    </row>
    <row r="144" spans="1:18" ht="15.6" x14ac:dyDescent="0.3">
      <c r="A144" s="5" t="str">
        <f>IF(ISBLANK(IMMeter[[#This Row],[OpCo2]]),"",COUNTA(IMMeter[[#This Row],[OpCo2]])-(COUNTA(IMMeter[[#This Row],[OpCo2]])-ROW(IMMeter[[#This Row],[OpCo2]])+1))</f>
        <v/>
      </c>
      <c r="B144" s="5"/>
      <c r="C144" s="6"/>
      <c r="D144" s="6"/>
      <c r="E144" s="5"/>
      <c r="F144" s="23"/>
      <c r="G144" s="24"/>
      <c r="H144" s="5" t="str">
        <f>IF(AND(ISBLANK(IMMeter[[#This Row],[Beg Ser]]),ISBLANK(IMMeter[[#This Row],[End Ser]])),"",IMMeter[[#This Row],[End Ser]]-IMMeter[[#This Row],[Beg Ser]]+1)</f>
        <v/>
      </c>
      <c r="I144" s="7"/>
      <c r="J144" s="7"/>
      <c r="K144" s="22"/>
      <c r="L144" s="7"/>
      <c r="M144" s="11"/>
      <c r="N144" s="6"/>
      <c r="O144" s="5"/>
      <c r="P144" s="5"/>
      <c r="Q144" s="5" t="str">
        <f>IF(ISBLANK(IMMeter[[#This Row],[PO Number]]),"",IF(ISBLANK(IMMeter[[#This Row],[Recv Date]]),0,1))</f>
        <v/>
      </c>
      <c r="R144" s="54"/>
    </row>
    <row r="145" spans="1:18" ht="15.6" x14ac:dyDescent="0.3">
      <c r="A145" s="5" t="str">
        <f>IF(ISBLANK(IMMeter[[#This Row],[OpCo2]]),"",COUNTA(IMMeter[[#This Row],[OpCo2]])-(COUNTA(IMMeter[[#This Row],[OpCo2]])-ROW(IMMeter[[#This Row],[OpCo2]])+1))</f>
        <v/>
      </c>
      <c r="B145" s="5"/>
      <c r="C145" s="6"/>
      <c r="D145" s="6"/>
      <c r="E145" s="5"/>
      <c r="F145" s="23"/>
      <c r="G145" s="24"/>
      <c r="H145" s="5" t="str">
        <f>IF(AND(ISBLANK(IMMeter[[#This Row],[Beg Ser]]),ISBLANK(IMMeter[[#This Row],[End Ser]])),"",IMMeter[[#This Row],[End Ser]]-IMMeter[[#This Row],[Beg Ser]]+1)</f>
        <v/>
      </c>
      <c r="I145" s="7"/>
      <c r="J145" s="7"/>
      <c r="K145" s="22"/>
      <c r="L145" s="7"/>
      <c r="M145" s="11"/>
      <c r="N145" s="6"/>
      <c r="O145" s="5"/>
      <c r="P145" s="5"/>
      <c r="Q145" s="5" t="str">
        <f>IF(ISBLANK(IMMeter[[#This Row],[PO Number]]),"",IF(ISBLANK(IMMeter[[#This Row],[Recv Date]]),0,1))</f>
        <v/>
      </c>
      <c r="R145" s="54"/>
    </row>
    <row r="146" spans="1:18" ht="15.6" x14ac:dyDescent="0.3">
      <c r="A146" s="5" t="str">
        <f>IF(ISBLANK(IMMeter[[#This Row],[OpCo2]]),"",COUNTA(IMMeter[[#This Row],[OpCo2]])-(COUNTA(IMMeter[[#This Row],[OpCo2]])-ROW(IMMeter[[#This Row],[OpCo2]])+1))</f>
        <v/>
      </c>
      <c r="B146" s="5"/>
      <c r="C146" s="6"/>
      <c r="D146" s="6"/>
      <c r="E146" s="5"/>
      <c r="F146" s="23"/>
      <c r="G146" s="24"/>
      <c r="H146" s="5" t="str">
        <f>IF(AND(ISBLANK(IMMeter[[#This Row],[Beg Ser]]),ISBLANK(IMMeter[[#This Row],[End Ser]])),"",IMMeter[[#This Row],[End Ser]]-IMMeter[[#This Row],[Beg Ser]]+1)</f>
        <v/>
      </c>
      <c r="I146" s="7"/>
      <c r="J146" s="7"/>
      <c r="K146" s="22"/>
      <c r="L146" s="7"/>
      <c r="M146" s="11"/>
      <c r="N146" s="6"/>
      <c r="O146" s="5"/>
      <c r="P146" s="5"/>
      <c r="Q146" s="5" t="str">
        <f>IF(ISBLANK(IMMeter[[#This Row],[PO Number]]),"",IF(ISBLANK(IMMeter[[#This Row],[Recv Date]]),0,1))</f>
        <v/>
      </c>
      <c r="R146" s="54"/>
    </row>
    <row r="147" spans="1:18" ht="15.6" x14ac:dyDescent="0.3">
      <c r="A147" s="5" t="str">
        <f>IF(ISBLANK(IMMeter[[#This Row],[OpCo2]]),"",COUNTA(IMMeter[[#This Row],[OpCo2]])-(COUNTA(IMMeter[[#This Row],[OpCo2]])-ROW(IMMeter[[#This Row],[OpCo2]])+1))</f>
        <v/>
      </c>
      <c r="B147" s="5"/>
      <c r="C147" s="6"/>
      <c r="D147" s="6"/>
      <c r="E147" s="5"/>
      <c r="F147" s="23"/>
      <c r="G147" s="24"/>
      <c r="H147" s="5" t="str">
        <f>IF(AND(ISBLANK(IMMeter[[#This Row],[Beg Ser]]),ISBLANK(IMMeter[[#This Row],[End Ser]])),"",IMMeter[[#This Row],[End Ser]]-IMMeter[[#This Row],[Beg Ser]]+1)</f>
        <v/>
      </c>
      <c r="I147" s="7"/>
      <c r="J147" s="7"/>
      <c r="K147" s="22"/>
      <c r="L147" s="7"/>
      <c r="M147" s="11"/>
      <c r="N147" s="6"/>
      <c r="O147" s="5"/>
      <c r="P147" s="5"/>
      <c r="Q147" s="5" t="str">
        <f>IF(ISBLANK(IMMeter[[#This Row],[PO Number]]),"",IF(ISBLANK(IMMeter[[#This Row],[Recv Date]]),0,1))</f>
        <v/>
      </c>
      <c r="R147" s="54"/>
    </row>
    <row r="148" spans="1:18" ht="15.6" x14ac:dyDescent="0.3">
      <c r="A148" s="5" t="str">
        <f>IF(ISBLANK(IMMeter[[#This Row],[OpCo2]]),"",COUNTA(IMMeter[[#This Row],[OpCo2]])-(COUNTA(IMMeter[[#This Row],[OpCo2]])-ROW(IMMeter[[#This Row],[OpCo2]])+1))</f>
        <v/>
      </c>
      <c r="B148" s="5"/>
      <c r="C148" s="6"/>
      <c r="D148" s="6"/>
      <c r="E148" s="5"/>
      <c r="F148" s="23"/>
      <c r="G148" s="24"/>
      <c r="H148" s="5" t="str">
        <f>IF(AND(ISBLANK(IMMeter[[#This Row],[Beg Ser]]),ISBLANK(IMMeter[[#This Row],[End Ser]])),"",IMMeter[[#This Row],[End Ser]]-IMMeter[[#This Row],[Beg Ser]]+1)</f>
        <v/>
      </c>
      <c r="I148" s="7"/>
      <c r="J148" s="7"/>
      <c r="K148" s="22"/>
      <c r="L148" s="7"/>
      <c r="M148" s="11"/>
      <c r="N148" s="6"/>
      <c r="O148" s="5"/>
      <c r="P148" s="5"/>
      <c r="Q148" s="5" t="str">
        <f>IF(ISBLANK(IMMeter[[#This Row],[PO Number]]),"",IF(ISBLANK(IMMeter[[#This Row],[Recv Date]]),0,1))</f>
        <v/>
      </c>
      <c r="R148" s="54"/>
    </row>
    <row r="149" spans="1:18" ht="15.6" x14ac:dyDescent="0.3">
      <c r="A149" s="5" t="str">
        <f>IF(ISBLANK(IMMeter[[#This Row],[OpCo2]]),"",COUNTA(IMMeter[[#This Row],[OpCo2]])-(COUNTA(IMMeter[[#This Row],[OpCo2]])-ROW(IMMeter[[#This Row],[OpCo2]])+1))</f>
        <v/>
      </c>
      <c r="B149" s="5"/>
      <c r="C149" s="6"/>
      <c r="D149" s="6"/>
      <c r="E149" s="5"/>
      <c r="F149" s="23"/>
      <c r="G149" s="24"/>
      <c r="H149" s="5" t="str">
        <f>IF(AND(ISBLANK(IMMeter[[#This Row],[Beg Ser]]),ISBLANK(IMMeter[[#This Row],[End Ser]])),"",IMMeter[[#This Row],[End Ser]]-IMMeter[[#This Row],[Beg Ser]]+1)</f>
        <v/>
      </c>
      <c r="I149" s="7"/>
      <c r="J149" s="7"/>
      <c r="K149" s="22"/>
      <c r="L149" s="7"/>
      <c r="M149" s="11"/>
      <c r="N149" s="6"/>
      <c r="O149" s="5"/>
      <c r="P149" s="5"/>
      <c r="Q149" s="5" t="str">
        <f>IF(ISBLANK(IMMeter[[#This Row],[PO Number]]),"",IF(ISBLANK(IMMeter[[#This Row],[Recv Date]]),0,1))</f>
        <v/>
      </c>
      <c r="R149" s="54"/>
    </row>
    <row r="150" spans="1:18" ht="15.6" x14ac:dyDescent="0.3">
      <c r="A150" s="5" t="str">
        <f>IF(ISBLANK(IMMeter[[#This Row],[OpCo2]]),"",COUNTA(IMMeter[[#This Row],[OpCo2]])-(COUNTA(IMMeter[[#This Row],[OpCo2]])-ROW(IMMeter[[#This Row],[OpCo2]])+1))</f>
        <v/>
      </c>
      <c r="B150" s="5"/>
      <c r="C150" s="6"/>
      <c r="D150" s="6"/>
      <c r="E150" s="5"/>
      <c r="F150" s="23"/>
      <c r="G150" s="24"/>
      <c r="H150" s="5" t="str">
        <f>IF(AND(ISBLANK(IMMeter[[#This Row],[Beg Ser]]),ISBLANK(IMMeter[[#This Row],[End Ser]])),"",IMMeter[[#This Row],[End Ser]]-IMMeter[[#This Row],[Beg Ser]]+1)</f>
        <v/>
      </c>
      <c r="I150" s="7"/>
      <c r="J150" s="7"/>
      <c r="K150" s="22"/>
      <c r="L150" s="7"/>
      <c r="M150" s="11"/>
      <c r="N150" s="6"/>
      <c r="O150" s="5"/>
      <c r="P150" s="5"/>
      <c r="Q150" s="5" t="str">
        <f>IF(ISBLANK(IMMeter[[#This Row],[PO Number]]),"",IF(ISBLANK(IMMeter[[#This Row],[Recv Date]]),0,1))</f>
        <v/>
      </c>
      <c r="R150" s="54"/>
    </row>
    <row r="151" spans="1:18" ht="15.6" x14ac:dyDescent="0.3">
      <c r="A151" s="5" t="str">
        <f>IF(ISBLANK(IMMeter[[#This Row],[OpCo2]]),"",COUNTA(IMMeter[[#This Row],[OpCo2]])-(COUNTA(IMMeter[[#This Row],[OpCo2]])-ROW(IMMeter[[#This Row],[OpCo2]])+1))</f>
        <v/>
      </c>
      <c r="B151" s="5"/>
      <c r="C151" s="6"/>
      <c r="D151" s="6"/>
      <c r="E151" s="5"/>
      <c r="F151" s="23"/>
      <c r="G151" s="24"/>
      <c r="H151" s="5" t="str">
        <f>IF(AND(ISBLANK(IMMeter[[#This Row],[Beg Ser]]),ISBLANK(IMMeter[[#This Row],[End Ser]])),"",IMMeter[[#This Row],[End Ser]]-IMMeter[[#This Row],[Beg Ser]]+1)</f>
        <v/>
      </c>
      <c r="I151" s="7"/>
      <c r="J151" s="7"/>
      <c r="K151" s="22"/>
      <c r="L151" s="7"/>
      <c r="M151" s="11"/>
      <c r="N151" s="6"/>
      <c r="O151" s="5"/>
      <c r="P151" s="5"/>
      <c r="Q151" s="5" t="str">
        <f>IF(ISBLANK(IMMeter[[#This Row],[PO Number]]),"",IF(ISBLANK(IMMeter[[#This Row],[Recv Date]]),0,1))</f>
        <v/>
      </c>
      <c r="R151" s="54"/>
    </row>
    <row r="152" spans="1:18" ht="15.6" x14ac:dyDescent="0.3">
      <c r="A152" s="5" t="str">
        <f>IF(ISBLANK(IMMeter[[#This Row],[OpCo2]]),"",COUNTA(IMMeter[[#This Row],[OpCo2]])-(COUNTA(IMMeter[[#This Row],[OpCo2]])-ROW(IMMeter[[#This Row],[OpCo2]])+1))</f>
        <v/>
      </c>
      <c r="B152" s="5"/>
      <c r="C152" s="6"/>
      <c r="D152" s="6"/>
      <c r="E152" s="5"/>
      <c r="F152" s="23"/>
      <c r="G152" s="24"/>
      <c r="H152" s="5" t="str">
        <f>IF(AND(ISBLANK(IMMeter[[#This Row],[Beg Ser]]),ISBLANK(IMMeter[[#This Row],[End Ser]])),"",IMMeter[[#This Row],[End Ser]]-IMMeter[[#This Row],[Beg Ser]]+1)</f>
        <v/>
      </c>
      <c r="I152" s="7"/>
      <c r="J152" s="7"/>
      <c r="K152" s="22"/>
      <c r="L152" s="7"/>
      <c r="M152" s="11"/>
      <c r="N152" s="6"/>
      <c r="O152" s="5"/>
      <c r="P152" s="5"/>
      <c r="Q152" s="5" t="str">
        <f>IF(ISBLANK(IMMeter[[#This Row],[PO Number]]),"",IF(ISBLANK(IMMeter[[#This Row],[Recv Date]]),0,1))</f>
        <v/>
      </c>
      <c r="R152" s="54"/>
    </row>
    <row r="153" spans="1:18" ht="15.6" x14ac:dyDescent="0.3">
      <c r="A153" s="5" t="str">
        <f>IF(ISBLANK(IMMeter[[#This Row],[OpCo2]]),"",COUNTA(IMMeter[[#This Row],[OpCo2]])-(COUNTA(IMMeter[[#This Row],[OpCo2]])-ROW(IMMeter[[#This Row],[OpCo2]])+1))</f>
        <v/>
      </c>
      <c r="B153" s="5"/>
      <c r="C153" s="6"/>
      <c r="D153" s="6"/>
      <c r="E153" s="5"/>
      <c r="F153" s="23"/>
      <c r="G153" s="24"/>
      <c r="H153" s="5" t="str">
        <f>IF(AND(ISBLANK(IMMeter[[#This Row],[Beg Ser]]),ISBLANK(IMMeter[[#This Row],[End Ser]])),"",IMMeter[[#This Row],[End Ser]]-IMMeter[[#This Row],[Beg Ser]]+1)</f>
        <v/>
      </c>
      <c r="I153" s="7"/>
      <c r="J153" s="7"/>
      <c r="K153" s="22"/>
      <c r="L153" s="7"/>
      <c r="M153" s="11"/>
      <c r="N153" s="6"/>
      <c r="O153" s="5"/>
      <c r="P153" s="5"/>
      <c r="Q153" s="5" t="str">
        <f>IF(ISBLANK(IMMeter[[#This Row],[PO Number]]),"",IF(ISBLANK(IMMeter[[#This Row],[Recv Date]]),0,1))</f>
        <v/>
      </c>
      <c r="R153" s="54"/>
    </row>
    <row r="154" spans="1:18" ht="15.6" x14ac:dyDescent="0.3">
      <c r="A154" s="5" t="str">
        <f>IF(ISBLANK(IMMeter[[#This Row],[OpCo2]]),"",COUNTA(IMMeter[[#This Row],[OpCo2]])-(COUNTA(IMMeter[[#This Row],[OpCo2]])-ROW(IMMeter[[#This Row],[OpCo2]])+1))</f>
        <v/>
      </c>
      <c r="B154" s="5"/>
      <c r="C154" s="6"/>
      <c r="D154" s="6"/>
      <c r="E154" s="5"/>
      <c r="F154" s="23"/>
      <c r="G154" s="24"/>
      <c r="H154" s="5" t="str">
        <f>IF(AND(ISBLANK(IMMeter[[#This Row],[Beg Ser]]),ISBLANK(IMMeter[[#This Row],[End Ser]])),"",IMMeter[[#This Row],[End Ser]]-IMMeter[[#This Row],[Beg Ser]]+1)</f>
        <v/>
      </c>
      <c r="I154" s="7"/>
      <c r="J154" s="7"/>
      <c r="K154" s="22"/>
      <c r="L154" s="7"/>
      <c r="M154" s="11"/>
      <c r="N154" s="6"/>
      <c r="O154" s="5"/>
      <c r="P154" s="5"/>
      <c r="Q154" s="5" t="str">
        <f>IF(ISBLANK(IMMeter[[#This Row],[PO Number]]),"",IF(ISBLANK(IMMeter[[#This Row],[Recv Date]]),0,1))</f>
        <v/>
      </c>
      <c r="R154" s="54"/>
    </row>
    <row r="155" spans="1:18" ht="15.6" x14ac:dyDescent="0.3">
      <c r="A155" s="5" t="str">
        <f>IF(ISBLANK(IMMeter[[#This Row],[OpCo2]]),"",COUNTA(IMMeter[[#This Row],[OpCo2]])-(COUNTA(IMMeter[[#This Row],[OpCo2]])-ROW(IMMeter[[#This Row],[OpCo2]])+1))</f>
        <v/>
      </c>
      <c r="B155" s="5"/>
      <c r="C155" s="6"/>
      <c r="D155" s="6"/>
      <c r="E155" s="5"/>
      <c r="F155" s="23"/>
      <c r="G155" s="24"/>
      <c r="H155" s="5" t="str">
        <f>IF(AND(ISBLANK(IMMeter[[#This Row],[Beg Ser]]),ISBLANK(IMMeter[[#This Row],[End Ser]])),"",IMMeter[[#This Row],[End Ser]]-IMMeter[[#This Row],[Beg Ser]]+1)</f>
        <v/>
      </c>
      <c r="I155" s="7"/>
      <c r="J155" s="7"/>
      <c r="K155" s="22"/>
      <c r="L155" s="7"/>
      <c r="M155" s="11"/>
      <c r="N155" s="6"/>
      <c r="O155" s="5"/>
      <c r="P155" s="5"/>
      <c r="Q155" s="5" t="str">
        <f>IF(ISBLANK(IMMeter[[#This Row],[PO Number]]),"",IF(ISBLANK(IMMeter[[#This Row],[Recv Date]]),0,1))</f>
        <v/>
      </c>
      <c r="R155" s="54"/>
    </row>
    <row r="156" spans="1:18" ht="15.6" x14ac:dyDescent="0.3">
      <c r="A156" s="5" t="str">
        <f>IF(ISBLANK(IMMeter[[#This Row],[OpCo2]]),"",COUNTA(IMMeter[[#This Row],[OpCo2]])-(COUNTA(IMMeter[[#This Row],[OpCo2]])-ROW(IMMeter[[#This Row],[OpCo2]])+1))</f>
        <v/>
      </c>
      <c r="B156" s="5"/>
      <c r="C156" s="6"/>
      <c r="D156" s="6"/>
      <c r="E156" s="5"/>
      <c r="F156" s="23"/>
      <c r="G156" s="24"/>
      <c r="H156" s="5" t="str">
        <f>IF(AND(ISBLANK(IMMeter[[#This Row],[Beg Ser]]),ISBLANK(IMMeter[[#This Row],[End Ser]])),"",IMMeter[[#This Row],[End Ser]]-IMMeter[[#This Row],[Beg Ser]]+1)</f>
        <v/>
      </c>
      <c r="I156" s="7"/>
      <c r="J156" s="7"/>
      <c r="K156" s="22"/>
      <c r="L156" s="7"/>
      <c r="M156" s="11"/>
      <c r="N156" s="6"/>
      <c r="O156" s="5"/>
      <c r="P156" s="5"/>
      <c r="Q156" s="5" t="str">
        <f>IF(ISBLANK(IMMeter[[#This Row],[PO Number]]),"",IF(ISBLANK(IMMeter[[#This Row],[Recv Date]]),0,1))</f>
        <v/>
      </c>
      <c r="R156" s="54"/>
    </row>
    <row r="157" spans="1:18" ht="15.6" x14ac:dyDescent="0.3">
      <c r="A157" s="5" t="str">
        <f>IF(ISBLANK(IMMeter[[#This Row],[OpCo2]]),"",COUNTA(IMMeter[[#This Row],[OpCo2]])-(COUNTA(IMMeter[[#This Row],[OpCo2]])-ROW(IMMeter[[#This Row],[OpCo2]])+1))</f>
        <v/>
      </c>
      <c r="B157" s="5"/>
      <c r="C157" s="6"/>
      <c r="D157" s="6"/>
      <c r="E157" s="5"/>
      <c r="F157" s="23"/>
      <c r="G157" s="24"/>
      <c r="H157" s="5" t="str">
        <f>IF(AND(ISBLANK(IMMeter[[#This Row],[Beg Ser]]),ISBLANK(IMMeter[[#This Row],[End Ser]])),"",IMMeter[[#This Row],[End Ser]]-IMMeter[[#This Row],[Beg Ser]]+1)</f>
        <v/>
      </c>
      <c r="I157" s="7"/>
      <c r="J157" s="7"/>
      <c r="K157" s="22"/>
      <c r="L157" s="7"/>
      <c r="M157" s="11"/>
      <c r="N157" s="6"/>
      <c r="O157" s="5"/>
      <c r="P157" s="5"/>
      <c r="Q157" s="5" t="str">
        <f>IF(ISBLANK(IMMeter[[#This Row],[PO Number]]),"",IF(ISBLANK(IMMeter[[#This Row],[Recv Date]]),0,1))</f>
        <v/>
      </c>
      <c r="R157" s="54"/>
    </row>
    <row r="158" spans="1:18" ht="15.6" x14ac:dyDescent="0.3">
      <c r="A158" s="5" t="str">
        <f>IF(ISBLANK(IMMeter[[#This Row],[OpCo2]]),"",COUNTA(IMMeter[[#This Row],[OpCo2]])-(COUNTA(IMMeter[[#This Row],[OpCo2]])-ROW(IMMeter[[#This Row],[OpCo2]])+1))</f>
        <v/>
      </c>
      <c r="B158" s="5"/>
      <c r="C158" s="6"/>
      <c r="D158" s="6"/>
      <c r="E158" s="5"/>
      <c r="F158" s="23"/>
      <c r="G158" s="24"/>
      <c r="H158" s="5" t="str">
        <f>IF(AND(ISBLANK(IMMeter[[#This Row],[Beg Ser]]),ISBLANK(IMMeter[[#This Row],[End Ser]])),"",IMMeter[[#This Row],[End Ser]]-IMMeter[[#This Row],[Beg Ser]]+1)</f>
        <v/>
      </c>
      <c r="I158" s="7"/>
      <c r="J158" s="7"/>
      <c r="K158" s="22"/>
      <c r="L158" s="7"/>
      <c r="M158" s="11"/>
      <c r="N158" s="6"/>
      <c r="O158" s="5"/>
      <c r="P158" s="5"/>
      <c r="Q158" s="5" t="str">
        <f>IF(ISBLANK(IMMeter[[#This Row],[PO Number]]),"",IF(ISBLANK(IMMeter[[#This Row],[Recv Date]]),0,1))</f>
        <v/>
      </c>
      <c r="R158" s="54"/>
    </row>
    <row r="159" spans="1:18" ht="15.6" x14ac:dyDescent="0.3">
      <c r="A159" s="5" t="str">
        <f>IF(ISBLANK(IMMeter[[#This Row],[OpCo2]]),"",COUNTA(IMMeter[[#This Row],[OpCo2]])-(COUNTA(IMMeter[[#This Row],[OpCo2]])-ROW(IMMeter[[#This Row],[OpCo2]])+1))</f>
        <v/>
      </c>
      <c r="B159" s="5"/>
      <c r="C159" s="6"/>
      <c r="D159" s="6"/>
      <c r="E159" s="5"/>
      <c r="F159" s="23"/>
      <c r="G159" s="24"/>
      <c r="H159" s="5" t="str">
        <f>IF(AND(ISBLANK(IMMeter[[#This Row],[Beg Ser]]),ISBLANK(IMMeter[[#This Row],[End Ser]])),"",IMMeter[[#This Row],[End Ser]]-IMMeter[[#This Row],[Beg Ser]]+1)</f>
        <v/>
      </c>
      <c r="I159" s="7"/>
      <c r="J159" s="7"/>
      <c r="K159" s="22"/>
      <c r="L159" s="7"/>
      <c r="M159" s="11"/>
      <c r="N159" s="6"/>
      <c r="O159" s="5"/>
      <c r="P159" s="5"/>
      <c r="Q159" s="5" t="str">
        <f>IF(ISBLANK(IMMeter[[#This Row],[PO Number]]),"",IF(ISBLANK(IMMeter[[#This Row],[Recv Date]]),0,1))</f>
        <v/>
      </c>
      <c r="R159" s="54"/>
    </row>
    <row r="160" spans="1:18" ht="15.6" x14ac:dyDescent="0.3">
      <c r="A160" s="5" t="str">
        <f>IF(ISBLANK(IMMeter[[#This Row],[OpCo2]]),"",COUNTA(IMMeter[[#This Row],[OpCo2]])-(COUNTA(IMMeter[[#This Row],[OpCo2]])-ROW(IMMeter[[#This Row],[OpCo2]])+1))</f>
        <v/>
      </c>
      <c r="B160" s="5"/>
      <c r="C160" s="6"/>
      <c r="D160" s="6"/>
      <c r="E160" s="5"/>
      <c r="F160" s="23"/>
      <c r="G160" s="24"/>
      <c r="H160" s="5" t="str">
        <f>IF(AND(ISBLANK(IMMeter[[#This Row],[Beg Ser]]),ISBLANK(IMMeter[[#This Row],[End Ser]])),"",IMMeter[[#This Row],[End Ser]]-IMMeter[[#This Row],[Beg Ser]]+1)</f>
        <v/>
      </c>
      <c r="I160" s="7"/>
      <c r="J160" s="7"/>
      <c r="K160" s="22"/>
      <c r="L160" s="7"/>
      <c r="M160" s="11"/>
      <c r="N160" s="6"/>
      <c r="O160" s="5"/>
      <c r="P160" s="5"/>
      <c r="Q160" s="5" t="str">
        <f>IF(ISBLANK(IMMeter[[#This Row],[PO Number]]),"",IF(ISBLANK(IMMeter[[#This Row],[Recv Date]]),0,1))</f>
        <v/>
      </c>
      <c r="R160" s="54"/>
    </row>
    <row r="161" spans="1:18" ht="15.6" x14ac:dyDescent="0.3">
      <c r="A161" s="5" t="str">
        <f>IF(ISBLANK(IMMeter[[#This Row],[OpCo2]]),"",COUNTA(IMMeter[[#This Row],[OpCo2]])-(COUNTA(IMMeter[[#This Row],[OpCo2]])-ROW(IMMeter[[#This Row],[OpCo2]])+1))</f>
        <v/>
      </c>
      <c r="B161" s="5"/>
      <c r="C161" s="6"/>
      <c r="D161" s="6"/>
      <c r="E161" s="5"/>
      <c r="F161" s="23"/>
      <c r="G161" s="24"/>
      <c r="H161" s="5" t="str">
        <f>IF(AND(ISBLANK(IMMeter[[#This Row],[Beg Ser]]),ISBLANK(IMMeter[[#This Row],[End Ser]])),"",IMMeter[[#This Row],[End Ser]]-IMMeter[[#This Row],[Beg Ser]]+1)</f>
        <v/>
      </c>
      <c r="I161" s="7"/>
      <c r="J161" s="7"/>
      <c r="K161" s="22"/>
      <c r="L161" s="7"/>
      <c r="M161" s="11"/>
      <c r="N161" s="6"/>
      <c r="O161" s="5"/>
      <c r="P161" s="5"/>
      <c r="Q161" s="5" t="str">
        <f>IF(ISBLANK(IMMeter[[#This Row],[PO Number]]),"",IF(ISBLANK(IMMeter[[#This Row],[Recv Date]]),0,1))</f>
        <v/>
      </c>
      <c r="R161" s="54"/>
    </row>
    <row r="162" spans="1:18" ht="15.6" x14ac:dyDescent="0.3">
      <c r="A162" s="5" t="str">
        <f>IF(ISBLANK(IMMeter[[#This Row],[OpCo2]]),"",COUNTA(IMMeter[[#This Row],[OpCo2]])-(COUNTA(IMMeter[[#This Row],[OpCo2]])-ROW(IMMeter[[#This Row],[OpCo2]])+1))</f>
        <v/>
      </c>
      <c r="B162" s="5"/>
      <c r="C162" s="6"/>
      <c r="D162" s="6"/>
      <c r="E162" s="5"/>
      <c r="F162" s="23"/>
      <c r="G162" s="24"/>
      <c r="H162" s="5" t="str">
        <f>IF(AND(ISBLANK(IMMeter[[#This Row],[Beg Ser]]),ISBLANK(IMMeter[[#This Row],[End Ser]])),"",IMMeter[[#This Row],[End Ser]]-IMMeter[[#This Row],[Beg Ser]]+1)</f>
        <v/>
      </c>
      <c r="I162" s="7"/>
      <c r="J162" s="7"/>
      <c r="K162" s="22"/>
      <c r="L162" s="7"/>
      <c r="M162" s="11"/>
      <c r="N162" s="6"/>
      <c r="O162" s="5"/>
      <c r="P162" s="5"/>
      <c r="Q162" s="5" t="str">
        <f>IF(ISBLANK(IMMeter[[#This Row],[PO Number]]),"",IF(ISBLANK(IMMeter[[#This Row],[Recv Date]]),0,1))</f>
        <v/>
      </c>
      <c r="R162" s="54"/>
    </row>
    <row r="163" spans="1:18" ht="15.6" x14ac:dyDescent="0.3">
      <c r="A163" s="5" t="str">
        <f>IF(ISBLANK(IMMeter[[#This Row],[OpCo2]]),"",COUNTA(IMMeter[[#This Row],[OpCo2]])-(COUNTA(IMMeter[[#This Row],[OpCo2]])-ROW(IMMeter[[#This Row],[OpCo2]])+1))</f>
        <v/>
      </c>
      <c r="B163" s="5"/>
      <c r="C163" s="6"/>
      <c r="D163" s="6"/>
      <c r="E163" s="5"/>
      <c r="F163" s="23"/>
      <c r="G163" s="24"/>
      <c r="H163" s="5" t="str">
        <f>IF(AND(ISBLANK(IMMeter[[#This Row],[Beg Ser]]),ISBLANK(IMMeter[[#This Row],[End Ser]])),"",IMMeter[[#This Row],[End Ser]]-IMMeter[[#This Row],[Beg Ser]]+1)</f>
        <v/>
      </c>
      <c r="I163" s="7"/>
      <c r="J163" s="7"/>
      <c r="K163" s="22"/>
      <c r="L163" s="7"/>
      <c r="M163" s="11"/>
      <c r="N163" s="6"/>
      <c r="O163" s="5"/>
      <c r="P163" s="5"/>
      <c r="Q163" s="5" t="str">
        <f>IF(ISBLANK(IMMeter[[#This Row],[PO Number]]),"",IF(ISBLANK(IMMeter[[#This Row],[Recv Date]]),0,1))</f>
        <v/>
      </c>
      <c r="R163" s="54"/>
    </row>
    <row r="164" spans="1:18" ht="15.6" x14ac:dyDescent="0.3">
      <c r="A164" s="5" t="str">
        <f>IF(ISBLANK(IMMeter[[#This Row],[OpCo2]]),"",COUNTA(IMMeter[[#This Row],[OpCo2]])-(COUNTA(IMMeter[[#This Row],[OpCo2]])-ROW(IMMeter[[#This Row],[OpCo2]])+1))</f>
        <v/>
      </c>
      <c r="B164" s="5"/>
      <c r="C164" s="6"/>
      <c r="D164" s="6"/>
      <c r="E164" s="5"/>
      <c r="F164" s="23"/>
      <c r="G164" s="24"/>
      <c r="H164" s="5" t="str">
        <f>IF(AND(ISBLANK(IMMeter[[#This Row],[Beg Ser]]),ISBLANK(IMMeter[[#This Row],[End Ser]])),"",IMMeter[[#This Row],[End Ser]]-IMMeter[[#This Row],[Beg Ser]]+1)</f>
        <v/>
      </c>
      <c r="I164" s="7"/>
      <c r="J164" s="7"/>
      <c r="K164" s="22"/>
      <c r="L164" s="7"/>
      <c r="M164" s="11"/>
      <c r="N164" s="6"/>
      <c r="O164" s="5"/>
      <c r="P164" s="5"/>
      <c r="Q164" s="5" t="str">
        <f>IF(ISBLANK(IMMeter[[#This Row],[PO Number]]),"",IF(ISBLANK(IMMeter[[#This Row],[Recv Date]]),0,1))</f>
        <v/>
      </c>
      <c r="R164" s="54"/>
    </row>
    <row r="165" spans="1:18" ht="15.6" x14ac:dyDescent="0.3">
      <c r="A165" s="5" t="str">
        <f>IF(ISBLANK(IMMeter[[#This Row],[OpCo2]]),"",COUNTA(IMMeter[[#This Row],[OpCo2]])-(COUNTA(IMMeter[[#This Row],[OpCo2]])-ROW(IMMeter[[#This Row],[OpCo2]])+1))</f>
        <v/>
      </c>
      <c r="B165" s="5"/>
      <c r="C165" s="6"/>
      <c r="D165" s="6"/>
      <c r="E165" s="5"/>
      <c r="F165" s="23"/>
      <c r="G165" s="24"/>
      <c r="H165" s="5" t="str">
        <f>IF(AND(ISBLANK(IMMeter[[#This Row],[Beg Ser]]),ISBLANK(IMMeter[[#This Row],[End Ser]])),"",IMMeter[[#This Row],[End Ser]]-IMMeter[[#This Row],[Beg Ser]]+1)</f>
        <v/>
      </c>
      <c r="I165" s="7"/>
      <c r="J165" s="7"/>
      <c r="K165" s="22"/>
      <c r="L165" s="7"/>
      <c r="M165" s="11"/>
      <c r="N165" s="6"/>
      <c r="O165" s="5"/>
      <c r="P165" s="5"/>
      <c r="Q165" s="5" t="str">
        <f>IF(ISBLANK(IMMeter[[#This Row],[PO Number]]),"",IF(ISBLANK(IMMeter[[#This Row],[Recv Date]]),0,1))</f>
        <v/>
      </c>
      <c r="R165" s="54"/>
    </row>
    <row r="166" spans="1:18" ht="15.6" x14ac:dyDescent="0.3">
      <c r="A166" s="5" t="str">
        <f>IF(ISBLANK(IMMeter[[#This Row],[OpCo2]]),"",COUNTA(IMMeter[[#This Row],[OpCo2]])-(COUNTA(IMMeter[[#This Row],[OpCo2]])-ROW(IMMeter[[#This Row],[OpCo2]])+1))</f>
        <v/>
      </c>
      <c r="B166" s="5"/>
      <c r="C166" s="6"/>
      <c r="D166" s="6"/>
      <c r="E166" s="5"/>
      <c r="F166" s="23"/>
      <c r="G166" s="24"/>
      <c r="H166" s="5" t="str">
        <f>IF(AND(ISBLANK(IMMeter[[#This Row],[Beg Ser]]),ISBLANK(IMMeter[[#This Row],[End Ser]])),"",IMMeter[[#This Row],[End Ser]]-IMMeter[[#This Row],[Beg Ser]]+1)</f>
        <v/>
      </c>
      <c r="I166" s="7"/>
      <c r="J166" s="7"/>
      <c r="K166" s="22"/>
      <c r="L166" s="7"/>
      <c r="M166" s="11"/>
      <c r="N166" s="6"/>
      <c r="O166" s="5"/>
      <c r="P166" s="5"/>
      <c r="Q166" s="5" t="str">
        <f>IF(ISBLANK(IMMeter[[#This Row],[PO Number]]),"",IF(ISBLANK(IMMeter[[#This Row],[Recv Date]]),0,1))</f>
        <v/>
      </c>
      <c r="R166" s="54"/>
    </row>
    <row r="167" spans="1:18" ht="15.6" x14ac:dyDescent="0.3">
      <c r="A167" s="5" t="str">
        <f>IF(ISBLANK(IMMeter[[#This Row],[OpCo2]]),"",COUNTA(IMMeter[[#This Row],[OpCo2]])-(COUNTA(IMMeter[[#This Row],[OpCo2]])-ROW(IMMeter[[#This Row],[OpCo2]])+1))</f>
        <v/>
      </c>
      <c r="B167" s="5"/>
      <c r="C167" s="6"/>
      <c r="D167" s="6"/>
      <c r="E167" s="5"/>
      <c r="F167" s="23"/>
      <c r="G167" s="24"/>
      <c r="H167" s="5" t="str">
        <f>IF(AND(ISBLANK(IMMeter[[#This Row],[Beg Ser]]),ISBLANK(IMMeter[[#This Row],[End Ser]])),"",IMMeter[[#This Row],[End Ser]]-IMMeter[[#This Row],[Beg Ser]]+1)</f>
        <v/>
      </c>
      <c r="I167" s="7"/>
      <c r="J167" s="7"/>
      <c r="K167" s="22"/>
      <c r="L167" s="7"/>
      <c r="M167" s="11"/>
      <c r="N167" s="6"/>
      <c r="O167" s="5"/>
      <c r="P167" s="5"/>
      <c r="Q167" s="5" t="str">
        <f>IF(ISBLANK(IMMeter[[#This Row],[PO Number]]),"",IF(ISBLANK(IMMeter[[#This Row],[Recv Date]]),0,1))</f>
        <v/>
      </c>
      <c r="R167" s="54"/>
    </row>
    <row r="168" spans="1:18" ht="15.6" x14ac:dyDescent="0.3">
      <c r="A168" s="5" t="str">
        <f>IF(ISBLANK(IMMeter[[#This Row],[OpCo2]]),"",COUNTA(IMMeter[[#This Row],[OpCo2]])-(COUNTA(IMMeter[[#This Row],[OpCo2]])-ROW(IMMeter[[#This Row],[OpCo2]])+1))</f>
        <v/>
      </c>
      <c r="B168" s="5"/>
      <c r="C168" s="6"/>
      <c r="D168" s="6"/>
      <c r="E168" s="5"/>
      <c r="F168" s="23"/>
      <c r="G168" s="24"/>
      <c r="H168" s="5" t="str">
        <f>IF(AND(ISBLANK(IMMeter[[#This Row],[Beg Ser]]),ISBLANK(IMMeter[[#This Row],[End Ser]])),"",IMMeter[[#This Row],[End Ser]]-IMMeter[[#This Row],[Beg Ser]]+1)</f>
        <v/>
      </c>
      <c r="I168" s="7"/>
      <c r="J168" s="7"/>
      <c r="K168" s="22"/>
      <c r="L168" s="7"/>
      <c r="M168" s="11"/>
      <c r="N168" s="6"/>
      <c r="O168" s="5"/>
      <c r="P168" s="5"/>
      <c r="Q168" s="5" t="str">
        <f>IF(ISBLANK(IMMeter[[#This Row],[PO Number]]),"",IF(ISBLANK(IMMeter[[#This Row],[Recv Date]]),0,1))</f>
        <v/>
      </c>
      <c r="R168" s="54"/>
    </row>
    <row r="169" spans="1:18" ht="15.6" x14ac:dyDescent="0.3">
      <c r="A169" s="5" t="str">
        <f>IF(ISBLANK(IMMeter[[#This Row],[OpCo2]]),"",COUNTA(IMMeter[[#This Row],[OpCo2]])-(COUNTA(IMMeter[[#This Row],[OpCo2]])-ROW(IMMeter[[#This Row],[OpCo2]])+1))</f>
        <v/>
      </c>
      <c r="B169" s="5"/>
      <c r="C169" s="6"/>
      <c r="D169" s="6"/>
      <c r="E169" s="5"/>
      <c r="F169" s="23"/>
      <c r="G169" s="24"/>
      <c r="H169" s="5" t="str">
        <f>IF(AND(ISBLANK(IMMeter[[#This Row],[Beg Ser]]),ISBLANK(IMMeter[[#This Row],[End Ser]])),"",IMMeter[[#This Row],[End Ser]]-IMMeter[[#This Row],[Beg Ser]]+1)</f>
        <v/>
      </c>
      <c r="I169" s="7"/>
      <c r="J169" s="7"/>
      <c r="K169" s="22"/>
      <c r="L169" s="7"/>
      <c r="M169" s="11"/>
      <c r="N169" s="6"/>
      <c r="O169" s="5"/>
      <c r="P169" s="5"/>
      <c r="Q169" s="5" t="str">
        <f>IF(ISBLANK(IMMeter[[#This Row],[PO Number]]),"",IF(ISBLANK(IMMeter[[#This Row],[Recv Date]]),0,1))</f>
        <v/>
      </c>
      <c r="R169" s="54"/>
    </row>
    <row r="170" spans="1:18" ht="15.6" x14ac:dyDescent="0.3">
      <c r="A170" s="5" t="str">
        <f>IF(ISBLANK(IMMeter[[#This Row],[OpCo2]]),"",COUNTA(IMMeter[[#This Row],[OpCo2]])-(COUNTA(IMMeter[[#This Row],[OpCo2]])-ROW(IMMeter[[#This Row],[OpCo2]])+1))</f>
        <v/>
      </c>
      <c r="B170" s="5"/>
      <c r="C170" s="6"/>
      <c r="D170" s="6"/>
      <c r="E170" s="5"/>
      <c r="F170" s="23"/>
      <c r="G170" s="24"/>
      <c r="H170" s="5" t="str">
        <f>IF(AND(ISBLANK(IMMeter[[#This Row],[Beg Ser]]),ISBLANK(IMMeter[[#This Row],[End Ser]])),"",IMMeter[[#This Row],[End Ser]]-IMMeter[[#This Row],[Beg Ser]]+1)</f>
        <v/>
      </c>
      <c r="I170" s="7"/>
      <c r="J170" s="7"/>
      <c r="K170" s="22"/>
      <c r="L170" s="7"/>
      <c r="M170" s="11"/>
      <c r="N170" s="6"/>
      <c r="O170" s="5"/>
      <c r="P170" s="5"/>
      <c r="Q170" s="5" t="str">
        <f>IF(ISBLANK(IMMeter[[#This Row],[PO Number]]),"",IF(ISBLANK(IMMeter[[#This Row],[Recv Date]]),0,1))</f>
        <v/>
      </c>
      <c r="R170" s="54"/>
    </row>
    <row r="171" spans="1:18" ht="15.6" x14ac:dyDescent="0.3">
      <c r="A171" s="5" t="str">
        <f>IF(ISBLANK(IMMeter[[#This Row],[OpCo2]]),"",COUNTA(IMMeter[[#This Row],[OpCo2]])-(COUNTA(IMMeter[[#This Row],[OpCo2]])-ROW(IMMeter[[#This Row],[OpCo2]])+1))</f>
        <v/>
      </c>
      <c r="B171" s="5"/>
      <c r="C171" s="6"/>
      <c r="D171" s="6"/>
      <c r="E171" s="5"/>
      <c r="F171" s="23"/>
      <c r="G171" s="24"/>
      <c r="H171" s="5" t="str">
        <f>IF(AND(ISBLANK(IMMeter[[#This Row],[Beg Ser]]),ISBLANK(IMMeter[[#This Row],[End Ser]])),"",IMMeter[[#This Row],[End Ser]]-IMMeter[[#This Row],[Beg Ser]]+1)</f>
        <v/>
      </c>
      <c r="I171" s="7"/>
      <c r="J171" s="7"/>
      <c r="K171" s="22"/>
      <c r="L171" s="7"/>
      <c r="M171" s="11"/>
      <c r="N171" s="6"/>
      <c r="O171" s="5"/>
      <c r="P171" s="5"/>
      <c r="Q171" s="5" t="str">
        <f>IF(ISBLANK(IMMeter[[#This Row],[PO Number]]),"",IF(ISBLANK(IMMeter[[#This Row],[Recv Date]]),0,1))</f>
        <v/>
      </c>
      <c r="R171" s="54"/>
    </row>
    <row r="172" spans="1:18" ht="15.6" x14ac:dyDescent="0.3">
      <c r="A172" s="5" t="str">
        <f>IF(ISBLANK(IMMeter[[#This Row],[OpCo2]]),"",COUNTA(IMMeter[[#This Row],[OpCo2]])-(COUNTA(IMMeter[[#This Row],[OpCo2]])-ROW(IMMeter[[#This Row],[OpCo2]])+1))</f>
        <v/>
      </c>
      <c r="B172" s="5"/>
      <c r="C172" s="6"/>
      <c r="D172" s="6"/>
      <c r="E172" s="5"/>
      <c r="F172" s="23"/>
      <c r="G172" s="24"/>
      <c r="H172" s="5" t="str">
        <f>IF(AND(ISBLANK(IMMeter[[#This Row],[Beg Ser]]),ISBLANK(IMMeter[[#This Row],[End Ser]])),"",IMMeter[[#This Row],[End Ser]]-IMMeter[[#This Row],[Beg Ser]]+1)</f>
        <v/>
      </c>
      <c r="I172" s="7"/>
      <c r="J172" s="7"/>
      <c r="K172" s="22"/>
      <c r="L172" s="7"/>
      <c r="M172" s="11"/>
      <c r="N172" s="6"/>
      <c r="O172" s="5"/>
      <c r="P172" s="5"/>
      <c r="Q172" s="5" t="str">
        <f>IF(ISBLANK(IMMeter[[#This Row],[PO Number]]),"",IF(ISBLANK(IMMeter[[#This Row],[Recv Date]]),0,1))</f>
        <v/>
      </c>
      <c r="R172" s="54"/>
    </row>
    <row r="173" spans="1:18" ht="15.6" x14ac:dyDescent="0.3">
      <c r="A173" s="5" t="str">
        <f>IF(ISBLANK(IMMeter[[#This Row],[OpCo2]]),"",COUNTA(IMMeter[[#This Row],[OpCo2]])-(COUNTA(IMMeter[[#This Row],[OpCo2]])-ROW(IMMeter[[#This Row],[OpCo2]])+1))</f>
        <v/>
      </c>
      <c r="B173" s="5"/>
      <c r="C173" s="6"/>
      <c r="D173" s="6"/>
      <c r="E173" s="5"/>
      <c r="F173" s="23"/>
      <c r="G173" s="24"/>
      <c r="H173" s="5" t="str">
        <f>IF(AND(ISBLANK(IMMeter[[#This Row],[Beg Ser]]),ISBLANK(IMMeter[[#This Row],[End Ser]])),"",IMMeter[[#This Row],[End Ser]]-IMMeter[[#This Row],[Beg Ser]]+1)</f>
        <v/>
      </c>
      <c r="I173" s="7"/>
      <c r="J173" s="7"/>
      <c r="K173" s="22"/>
      <c r="L173" s="7"/>
      <c r="M173" s="11"/>
      <c r="N173" s="6"/>
      <c r="O173" s="5"/>
      <c r="P173" s="5"/>
      <c r="Q173" s="5" t="str">
        <f>IF(ISBLANK(IMMeter[[#This Row],[PO Number]]),"",IF(ISBLANK(IMMeter[[#This Row],[Recv Date]]),0,1))</f>
        <v/>
      </c>
      <c r="R173" s="54"/>
    </row>
    <row r="174" spans="1:18" ht="15.6" x14ac:dyDescent="0.3">
      <c r="A174" s="5" t="str">
        <f>IF(ISBLANK(IMMeter[[#This Row],[OpCo2]]),"",COUNTA(IMMeter[[#This Row],[OpCo2]])-(COUNTA(IMMeter[[#This Row],[OpCo2]])-ROW(IMMeter[[#This Row],[OpCo2]])+1))</f>
        <v/>
      </c>
      <c r="B174" s="5"/>
      <c r="C174" s="6"/>
      <c r="D174" s="6"/>
      <c r="E174" s="5"/>
      <c r="F174" s="23"/>
      <c r="G174" s="24"/>
      <c r="H174" s="5" t="str">
        <f>IF(AND(ISBLANK(IMMeter[[#This Row],[Beg Ser]]),ISBLANK(IMMeter[[#This Row],[End Ser]])),"",IMMeter[[#This Row],[End Ser]]-IMMeter[[#This Row],[Beg Ser]]+1)</f>
        <v/>
      </c>
      <c r="I174" s="7"/>
      <c r="J174" s="7"/>
      <c r="K174" s="22"/>
      <c r="L174" s="7"/>
      <c r="M174" s="11"/>
      <c r="N174" s="6"/>
      <c r="O174" s="5"/>
      <c r="P174" s="5"/>
      <c r="Q174" s="5" t="str">
        <f>IF(ISBLANK(IMMeter[[#This Row],[PO Number]]),"",IF(ISBLANK(IMMeter[[#This Row],[Recv Date]]),0,1))</f>
        <v/>
      </c>
      <c r="R174" s="54"/>
    </row>
    <row r="175" spans="1:18" ht="15.6" x14ac:dyDescent="0.3">
      <c r="A175" s="5" t="str">
        <f>IF(ISBLANK(IMMeter[[#This Row],[OpCo2]]),"",COUNTA(IMMeter[[#This Row],[OpCo2]])-(COUNTA(IMMeter[[#This Row],[OpCo2]])-ROW(IMMeter[[#This Row],[OpCo2]])+1))</f>
        <v/>
      </c>
      <c r="B175" s="5"/>
      <c r="C175" s="6"/>
      <c r="D175" s="6"/>
      <c r="E175" s="5"/>
      <c r="F175" s="23"/>
      <c r="G175" s="24"/>
      <c r="H175" s="5" t="str">
        <f>IF(AND(ISBLANK(IMMeter[[#This Row],[Beg Ser]]),ISBLANK(IMMeter[[#This Row],[End Ser]])),"",IMMeter[[#This Row],[End Ser]]-IMMeter[[#This Row],[Beg Ser]]+1)</f>
        <v/>
      </c>
      <c r="I175" s="7"/>
      <c r="J175" s="7"/>
      <c r="K175" s="22"/>
      <c r="L175" s="7"/>
      <c r="M175" s="11"/>
      <c r="N175" s="6"/>
      <c r="O175" s="5"/>
      <c r="P175" s="5"/>
      <c r="Q175" s="5" t="str">
        <f>IF(ISBLANK(IMMeter[[#This Row],[PO Number]]),"",IF(ISBLANK(IMMeter[[#This Row],[Recv Date]]),0,1))</f>
        <v/>
      </c>
      <c r="R175" s="54"/>
    </row>
    <row r="176" spans="1:18" ht="15.6" x14ac:dyDescent="0.3">
      <c r="A176" s="5" t="str">
        <f>IF(ISBLANK(IMMeter[[#This Row],[OpCo2]]),"",COUNTA(IMMeter[[#This Row],[OpCo2]])-(COUNTA(IMMeter[[#This Row],[OpCo2]])-ROW(IMMeter[[#This Row],[OpCo2]])+1))</f>
        <v/>
      </c>
      <c r="B176" s="5"/>
      <c r="C176" s="6"/>
      <c r="D176" s="6"/>
      <c r="E176" s="5"/>
      <c r="F176" s="23"/>
      <c r="G176" s="24"/>
      <c r="H176" s="5" t="str">
        <f>IF(AND(ISBLANK(IMMeter[[#This Row],[Beg Ser]]),ISBLANK(IMMeter[[#This Row],[End Ser]])),"",IMMeter[[#This Row],[End Ser]]-IMMeter[[#This Row],[Beg Ser]]+1)</f>
        <v/>
      </c>
      <c r="I176" s="7"/>
      <c r="J176" s="7"/>
      <c r="K176" s="22"/>
      <c r="L176" s="7"/>
      <c r="M176" s="11"/>
      <c r="N176" s="6"/>
      <c r="O176" s="5"/>
      <c r="P176" s="5"/>
      <c r="Q176" s="5" t="str">
        <f>IF(ISBLANK(IMMeter[[#This Row],[PO Number]]),"",IF(ISBLANK(IMMeter[[#This Row],[Recv Date]]),0,1))</f>
        <v/>
      </c>
      <c r="R176" s="54"/>
    </row>
    <row r="177" spans="1:18" ht="15.6" x14ac:dyDescent="0.3">
      <c r="A177" s="5" t="str">
        <f>IF(ISBLANK(IMMeter[[#This Row],[OpCo2]]),"",COUNTA(IMMeter[[#This Row],[OpCo2]])-(COUNTA(IMMeter[[#This Row],[OpCo2]])-ROW(IMMeter[[#This Row],[OpCo2]])+1))</f>
        <v/>
      </c>
      <c r="B177" s="5"/>
      <c r="C177" s="6"/>
      <c r="D177" s="6"/>
      <c r="E177" s="5"/>
      <c r="F177" s="23"/>
      <c r="G177" s="24"/>
      <c r="H177" s="5" t="str">
        <f>IF(AND(ISBLANK(IMMeter[[#This Row],[Beg Ser]]),ISBLANK(IMMeter[[#This Row],[End Ser]])),"",IMMeter[[#This Row],[End Ser]]-IMMeter[[#This Row],[Beg Ser]]+1)</f>
        <v/>
      </c>
      <c r="I177" s="7"/>
      <c r="J177" s="7"/>
      <c r="K177" s="22"/>
      <c r="L177" s="7"/>
      <c r="M177" s="11"/>
      <c r="N177" s="6"/>
      <c r="O177" s="5"/>
      <c r="P177" s="5"/>
      <c r="Q177" s="5" t="str">
        <f>IF(ISBLANK(IMMeter[[#This Row],[PO Number]]),"",IF(ISBLANK(IMMeter[[#This Row],[Recv Date]]),0,1))</f>
        <v/>
      </c>
      <c r="R177" s="54"/>
    </row>
    <row r="178" spans="1:18" ht="15.6" x14ac:dyDescent="0.3">
      <c r="A178" s="5" t="str">
        <f>IF(ISBLANK(IMMeter[[#This Row],[OpCo2]]),"",COUNTA(IMMeter[[#This Row],[OpCo2]])-(COUNTA(IMMeter[[#This Row],[OpCo2]])-ROW(IMMeter[[#This Row],[OpCo2]])+1))</f>
        <v/>
      </c>
      <c r="B178" s="5"/>
      <c r="C178" s="6"/>
      <c r="D178" s="6"/>
      <c r="E178" s="5"/>
      <c r="F178" s="23"/>
      <c r="G178" s="24"/>
      <c r="H178" s="5" t="str">
        <f>IF(AND(ISBLANK(IMMeter[[#This Row],[Beg Ser]]),ISBLANK(IMMeter[[#This Row],[End Ser]])),"",IMMeter[[#This Row],[End Ser]]-IMMeter[[#This Row],[Beg Ser]]+1)</f>
        <v/>
      </c>
      <c r="I178" s="7"/>
      <c r="J178" s="7"/>
      <c r="K178" s="22"/>
      <c r="L178" s="7"/>
      <c r="M178" s="11"/>
      <c r="N178" s="6"/>
      <c r="O178" s="5"/>
      <c r="P178" s="5"/>
      <c r="Q178" s="5" t="str">
        <f>IF(ISBLANK(IMMeter[[#This Row],[PO Number]]),"",IF(ISBLANK(IMMeter[[#This Row],[Recv Date]]),0,1))</f>
        <v/>
      </c>
      <c r="R178" s="54"/>
    </row>
    <row r="179" spans="1:18" ht="15.6" x14ac:dyDescent="0.3">
      <c r="A179" s="5" t="str">
        <f>IF(ISBLANK(IMMeter[[#This Row],[OpCo2]]),"",COUNTA(IMMeter[[#This Row],[OpCo2]])-(COUNTA(IMMeter[[#This Row],[OpCo2]])-ROW(IMMeter[[#This Row],[OpCo2]])+1))</f>
        <v/>
      </c>
      <c r="B179" s="5"/>
      <c r="C179" s="6"/>
      <c r="D179" s="6"/>
      <c r="E179" s="5"/>
      <c r="F179" s="23"/>
      <c r="G179" s="24"/>
      <c r="H179" s="5" t="str">
        <f>IF(AND(ISBLANK(IMMeter[[#This Row],[Beg Ser]]),ISBLANK(IMMeter[[#This Row],[End Ser]])),"",IMMeter[[#This Row],[End Ser]]-IMMeter[[#This Row],[Beg Ser]]+1)</f>
        <v/>
      </c>
      <c r="I179" s="7"/>
      <c r="J179" s="7"/>
      <c r="K179" s="22"/>
      <c r="L179" s="7"/>
      <c r="M179" s="11"/>
      <c r="N179" s="6"/>
      <c r="O179" s="5"/>
      <c r="P179" s="5"/>
      <c r="Q179" s="5" t="str">
        <f>IF(ISBLANK(IMMeter[[#This Row],[PO Number]]),"",IF(ISBLANK(IMMeter[[#This Row],[Recv Date]]),0,1))</f>
        <v/>
      </c>
      <c r="R179" s="54"/>
    </row>
    <row r="180" spans="1:18" ht="15.6" x14ac:dyDescent="0.3">
      <c r="A180" s="5" t="str">
        <f>IF(ISBLANK(IMMeter[[#This Row],[OpCo2]]),"",COUNTA(IMMeter[[#This Row],[OpCo2]])-(COUNTA(IMMeter[[#This Row],[OpCo2]])-ROW(IMMeter[[#This Row],[OpCo2]])+1))</f>
        <v/>
      </c>
      <c r="B180" s="5"/>
      <c r="C180" s="6"/>
      <c r="D180" s="6"/>
      <c r="E180" s="5"/>
      <c r="F180" s="23"/>
      <c r="G180" s="24"/>
      <c r="H180" s="5" t="str">
        <f>IF(AND(ISBLANK(IMMeter[[#This Row],[Beg Ser]]),ISBLANK(IMMeter[[#This Row],[End Ser]])),"",IMMeter[[#This Row],[End Ser]]-IMMeter[[#This Row],[Beg Ser]]+1)</f>
        <v/>
      </c>
      <c r="I180" s="7"/>
      <c r="J180" s="7"/>
      <c r="K180" s="22"/>
      <c r="L180" s="7"/>
      <c r="M180" s="11"/>
      <c r="N180" s="6"/>
      <c r="O180" s="5"/>
      <c r="P180" s="5"/>
      <c r="Q180" s="5" t="str">
        <f>IF(ISBLANK(IMMeter[[#This Row],[PO Number]]),"",IF(ISBLANK(IMMeter[[#This Row],[Recv Date]]),0,1))</f>
        <v/>
      </c>
      <c r="R180" s="54"/>
    </row>
    <row r="181" spans="1:18" ht="15.6" x14ac:dyDescent="0.3">
      <c r="A181" s="5" t="str">
        <f>IF(ISBLANK(IMMeter[[#This Row],[OpCo2]]),"",COUNTA(IMMeter[[#This Row],[OpCo2]])-(COUNTA(IMMeter[[#This Row],[OpCo2]])-ROW(IMMeter[[#This Row],[OpCo2]])+1))</f>
        <v/>
      </c>
      <c r="B181" s="5"/>
      <c r="C181" s="6"/>
      <c r="D181" s="6"/>
      <c r="E181" s="5"/>
      <c r="F181" s="23"/>
      <c r="G181" s="24"/>
      <c r="H181" s="5" t="str">
        <f>IF(AND(ISBLANK(IMMeter[[#This Row],[Beg Ser]]),ISBLANK(IMMeter[[#This Row],[End Ser]])),"",IMMeter[[#This Row],[End Ser]]-IMMeter[[#This Row],[Beg Ser]]+1)</f>
        <v/>
      </c>
      <c r="I181" s="7"/>
      <c r="J181" s="7"/>
      <c r="K181" s="22"/>
      <c r="L181" s="7"/>
      <c r="M181" s="11"/>
      <c r="N181" s="6"/>
      <c r="O181" s="5"/>
      <c r="P181" s="5"/>
      <c r="Q181" s="5" t="str">
        <f>IF(ISBLANK(IMMeter[[#This Row],[PO Number]]),"",IF(ISBLANK(IMMeter[[#This Row],[Recv Date]]),0,1))</f>
        <v/>
      </c>
      <c r="R181" s="54"/>
    </row>
    <row r="182" spans="1:18" ht="15.6" x14ac:dyDescent="0.3">
      <c r="A182" s="5" t="str">
        <f>IF(ISBLANK(IMMeter[[#This Row],[OpCo2]]),"",COUNTA(IMMeter[[#This Row],[OpCo2]])-(COUNTA(IMMeter[[#This Row],[OpCo2]])-ROW(IMMeter[[#This Row],[OpCo2]])+1))</f>
        <v/>
      </c>
      <c r="B182" s="5"/>
      <c r="C182" s="6"/>
      <c r="D182" s="6"/>
      <c r="E182" s="5"/>
      <c r="F182" s="23"/>
      <c r="G182" s="24"/>
      <c r="H182" s="5" t="str">
        <f>IF(AND(ISBLANK(IMMeter[[#This Row],[Beg Ser]]),ISBLANK(IMMeter[[#This Row],[End Ser]])),"",IMMeter[[#This Row],[End Ser]]-IMMeter[[#This Row],[Beg Ser]]+1)</f>
        <v/>
      </c>
      <c r="I182" s="7"/>
      <c r="J182" s="7"/>
      <c r="K182" s="22"/>
      <c r="L182" s="7"/>
      <c r="M182" s="11"/>
      <c r="N182" s="6"/>
      <c r="O182" s="5"/>
      <c r="P182" s="5"/>
      <c r="Q182" s="5" t="str">
        <f>IF(ISBLANK(IMMeter[[#This Row],[PO Number]]),"",IF(ISBLANK(IMMeter[[#This Row],[Recv Date]]),0,1))</f>
        <v/>
      </c>
      <c r="R182" s="54"/>
    </row>
    <row r="183" spans="1:18" ht="15.6" x14ac:dyDescent="0.3">
      <c r="A183" s="5" t="str">
        <f>IF(ISBLANK(IMMeter[[#This Row],[OpCo2]]),"",COUNTA(IMMeter[[#This Row],[OpCo2]])-(COUNTA(IMMeter[[#This Row],[OpCo2]])-ROW(IMMeter[[#This Row],[OpCo2]])+1))</f>
        <v/>
      </c>
      <c r="B183" s="5"/>
      <c r="C183" s="6"/>
      <c r="D183" s="6"/>
      <c r="E183" s="5"/>
      <c r="F183" s="23"/>
      <c r="G183" s="24"/>
      <c r="H183" s="5" t="str">
        <f>IF(AND(ISBLANK(IMMeter[[#This Row],[Beg Ser]]),ISBLANK(IMMeter[[#This Row],[End Ser]])),"",IMMeter[[#This Row],[End Ser]]-IMMeter[[#This Row],[Beg Ser]]+1)</f>
        <v/>
      </c>
      <c r="I183" s="7"/>
      <c r="J183" s="7"/>
      <c r="K183" s="22"/>
      <c r="L183" s="7"/>
      <c r="M183" s="11"/>
      <c r="N183" s="6"/>
      <c r="O183" s="5"/>
      <c r="P183" s="5"/>
      <c r="Q183" s="5" t="str">
        <f>IF(ISBLANK(IMMeter[[#This Row],[PO Number]]),"",IF(ISBLANK(IMMeter[[#This Row],[Recv Date]]),0,1))</f>
        <v/>
      </c>
      <c r="R183" s="54"/>
    </row>
    <row r="184" spans="1:18" ht="15.6" x14ac:dyDescent="0.3">
      <c r="A184" s="5" t="str">
        <f>IF(ISBLANK(IMMeter[[#This Row],[OpCo2]]),"",COUNTA(IMMeter[[#This Row],[OpCo2]])-(COUNTA(IMMeter[[#This Row],[OpCo2]])-ROW(IMMeter[[#This Row],[OpCo2]])+1))</f>
        <v/>
      </c>
      <c r="B184" s="5"/>
      <c r="C184" s="6"/>
      <c r="D184" s="6"/>
      <c r="E184" s="5"/>
      <c r="F184" s="23"/>
      <c r="G184" s="24"/>
      <c r="H184" s="5" t="str">
        <f>IF(AND(ISBLANK(IMMeter[[#This Row],[Beg Ser]]),ISBLANK(IMMeter[[#This Row],[End Ser]])),"",IMMeter[[#This Row],[End Ser]]-IMMeter[[#This Row],[Beg Ser]]+1)</f>
        <v/>
      </c>
      <c r="I184" s="7"/>
      <c r="J184" s="7"/>
      <c r="K184" s="22"/>
      <c r="L184" s="7"/>
      <c r="M184" s="11"/>
      <c r="N184" s="6"/>
      <c r="O184" s="5"/>
      <c r="P184" s="5"/>
      <c r="Q184" s="5" t="str">
        <f>IF(ISBLANK(IMMeter[[#This Row],[PO Number]]),"",IF(ISBLANK(IMMeter[[#This Row],[Recv Date]]),0,1))</f>
        <v/>
      </c>
      <c r="R184" s="54"/>
    </row>
    <row r="185" spans="1:18" ht="15.6" x14ac:dyDescent="0.3">
      <c r="A185" s="5" t="str">
        <f>IF(ISBLANK(IMMeter[[#This Row],[OpCo2]]),"",COUNTA(IMMeter[[#This Row],[OpCo2]])-(COUNTA(IMMeter[[#This Row],[OpCo2]])-ROW(IMMeter[[#This Row],[OpCo2]])+1))</f>
        <v/>
      </c>
      <c r="B185" s="5"/>
      <c r="C185" s="6"/>
      <c r="D185" s="6"/>
      <c r="E185" s="5"/>
      <c r="F185" s="23"/>
      <c r="G185" s="24"/>
      <c r="H185" s="5" t="str">
        <f>IF(AND(ISBLANK(IMMeter[[#This Row],[Beg Ser]]),ISBLANK(IMMeter[[#This Row],[End Ser]])),"",IMMeter[[#This Row],[End Ser]]-IMMeter[[#This Row],[Beg Ser]]+1)</f>
        <v/>
      </c>
      <c r="I185" s="7"/>
      <c r="J185" s="7"/>
      <c r="K185" s="22"/>
      <c r="L185" s="7"/>
      <c r="M185" s="11"/>
      <c r="N185" s="6"/>
      <c r="O185" s="5"/>
      <c r="P185" s="5"/>
      <c r="Q185" s="5" t="str">
        <f>IF(ISBLANK(IMMeter[[#This Row],[PO Number]]),"",IF(ISBLANK(IMMeter[[#This Row],[Recv Date]]),0,1))</f>
        <v/>
      </c>
      <c r="R185" s="54"/>
    </row>
    <row r="186" spans="1:18" ht="15.6" x14ac:dyDescent="0.3">
      <c r="A186" s="5" t="str">
        <f>IF(ISBLANK(IMMeter[[#This Row],[OpCo2]]),"",COUNTA(IMMeter[[#This Row],[OpCo2]])-(COUNTA(IMMeter[[#This Row],[OpCo2]])-ROW(IMMeter[[#This Row],[OpCo2]])+1))</f>
        <v/>
      </c>
      <c r="B186" s="5"/>
      <c r="C186" s="6"/>
      <c r="D186" s="6"/>
      <c r="E186" s="5"/>
      <c r="F186" s="23"/>
      <c r="G186" s="24"/>
      <c r="H186" s="5" t="str">
        <f>IF(AND(ISBLANK(IMMeter[[#This Row],[Beg Ser]]),ISBLANK(IMMeter[[#This Row],[End Ser]])),"",IMMeter[[#This Row],[End Ser]]-IMMeter[[#This Row],[Beg Ser]]+1)</f>
        <v/>
      </c>
      <c r="I186" s="7"/>
      <c r="J186" s="7"/>
      <c r="K186" s="22"/>
      <c r="L186" s="7"/>
      <c r="M186" s="11"/>
      <c r="N186" s="6"/>
      <c r="O186" s="5"/>
      <c r="P186" s="5"/>
      <c r="Q186" s="5" t="str">
        <f>IF(ISBLANK(IMMeter[[#This Row],[PO Number]]),"",IF(ISBLANK(IMMeter[[#This Row],[Recv Date]]),0,1))</f>
        <v/>
      </c>
      <c r="R186" s="54"/>
    </row>
    <row r="187" spans="1:18" ht="15.6" x14ac:dyDescent="0.3">
      <c r="A187" s="5" t="str">
        <f>IF(ISBLANK(IMMeter[[#This Row],[OpCo2]]),"",COUNTA(IMMeter[[#This Row],[OpCo2]])-(COUNTA(IMMeter[[#This Row],[OpCo2]])-ROW(IMMeter[[#This Row],[OpCo2]])+1))</f>
        <v/>
      </c>
      <c r="B187" s="5"/>
      <c r="C187" s="6"/>
      <c r="D187" s="6"/>
      <c r="E187" s="5"/>
      <c r="F187" s="23"/>
      <c r="G187" s="24"/>
      <c r="H187" s="5" t="str">
        <f>IF(AND(ISBLANK(IMMeter[[#This Row],[Beg Ser]]),ISBLANK(IMMeter[[#This Row],[End Ser]])),"",IMMeter[[#This Row],[End Ser]]-IMMeter[[#This Row],[Beg Ser]]+1)</f>
        <v/>
      </c>
      <c r="I187" s="7"/>
      <c r="J187" s="7"/>
      <c r="K187" s="22"/>
      <c r="L187" s="7"/>
      <c r="M187" s="11"/>
      <c r="N187" s="6"/>
      <c r="O187" s="5"/>
      <c r="P187" s="5"/>
      <c r="Q187" s="5" t="str">
        <f>IF(ISBLANK(IMMeter[[#This Row],[PO Number]]),"",IF(ISBLANK(IMMeter[[#This Row],[Recv Date]]),0,1))</f>
        <v/>
      </c>
      <c r="R187" s="54"/>
    </row>
    <row r="188" spans="1:18" ht="15.6" x14ac:dyDescent="0.3">
      <c r="A188" s="5" t="str">
        <f>IF(ISBLANK(IMMeter[[#This Row],[OpCo2]]),"",COUNTA(IMMeter[[#This Row],[OpCo2]])-(COUNTA(IMMeter[[#This Row],[OpCo2]])-ROW(IMMeter[[#This Row],[OpCo2]])+1))</f>
        <v/>
      </c>
      <c r="B188" s="5"/>
      <c r="C188" s="6"/>
      <c r="D188" s="6"/>
      <c r="E188" s="5"/>
      <c r="F188" s="23"/>
      <c r="G188" s="24"/>
      <c r="H188" s="5" t="str">
        <f>IF(AND(ISBLANK(IMMeter[[#This Row],[Beg Ser]]),ISBLANK(IMMeter[[#This Row],[End Ser]])),"",IMMeter[[#This Row],[End Ser]]-IMMeter[[#This Row],[Beg Ser]]+1)</f>
        <v/>
      </c>
      <c r="I188" s="7"/>
      <c r="J188" s="7"/>
      <c r="K188" s="22"/>
      <c r="L188" s="7"/>
      <c r="M188" s="11"/>
      <c r="N188" s="6"/>
      <c r="O188" s="5"/>
      <c r="P188" s="5"/>
      <c r="Q188" s="5" t="str">
        <f>IF(ISBLANK(IMMeter[[#This Row],[PO Number]]),"",IF(ISBLANK(IMMeter[[#This Row],[Recv Date]]),0,1))</f>
        <v/>
      </c>
      <c r="R188" s="54"/>
    </row>
    <row r="189" spans="1:18" ht="15.6" x14ac:dyDescent="0.3">
      <c r="A189" s="5" t="str">
        <f>IF(ISBLANK(IMMeter[[#This Row],[OpCo2]]),"",COUNTA(IMMeter[[#This Row],[OpCo2]])-(COUNTA(IMMeter[[#This Row],[OpCo2]])-ROW(IMMeter[[#This Row],[OpCo2]])+1))</f>
        <v/>
      </c>
      <c r="B189" s="5"/>
      <c r="C189" s="6"/>
      <c r="D189" s="6"/>
      <c r="E189" s="5"/>
      <c r="F189" s="23"/>
      <c r="G189" s="24"/>
      <c r="H189" s="5" t="str">
        <f>IF(AND(ISBLANK(IMMeter[[#This Row],[Beg Ser]]),ISBLANK(IMMeter[[#This Row],[End Ser]])),"",IMMeter[[#This Row],[End Ser]]-IMMeter[[#This Row],[Beg Ser]]+1)</f>
        <v/>
      </c>
      <c r="I189" s="7"/>
      <c r="J189" s="7"/>
      <c r="K189" s="22"/>
      <c r="L189" s="7"/>
      <c r="M189" s="11"/>
      <c r="N189" s="6"/>
      <c r="O189" s="5"/>
      <c r="P189" s="5"/>
      <c r="Q189" s="5" t="str">
        <f>IF(ISBLANK(IMMeter[[#This Row],[PO Number]]),"",IF(ISBLANK(IMMeter[[#This Row],[Recv Date]]),0,1))</f>
        <v/>
      </c>
      <c r="R189" s="54"/>
    </row>
    <row r="190" spans="1:18" ht="15.6" x14ac:dyDescent="0.3">
      <c r="A190" s="5" t="str">
        <f>IF(ISBLANK(IMMeter[[#This Row],[OpCo2]]),"",COUNTA(IMMeter[[#This Row],[OpCo2]])-(COUNTA(IMMeter[[#This Row],[OpCo2]])-ROW(IMMeter[[#This Row],[OpCo2]])+1))</f>
        <v/>
      </c>
      <c r="B190" s="5"/>
      <c r="C190" s="6"/>
      <c r="D190" s="6"/>
      <c r="E190" s="5"/>
      <c r="F190" s="23"/>
      <c r="G190" s="24"/>
      <c r="H190" s="5" t="str">
        <f>IF(AND(ISBLANK(IMMeter[[#This Row],[Beg Ser]]),ISBLANK(IMMeter[[#This Row],[End Ser]])),"",IMMeter[[#This Row],[End Ser]]-IMMeter[[#This Row],[Beg Ser]]+1)</f>
        <v/>
      </c>
      <c r="I190" s="7"/>
      <c r="J190" s="7"/>
      <c r="K190" s="22"/>
      <c r="L190" s="7"/>
      <c r="M190" s="11"/>
      <c r="N190" s="6"/>
      <c r="O190" s="5"/>
      <c r="P190" s="5"/>
      <c r="Q190" s="5" t="str">
        <f>IF(ISBLANK(IMMeter[[#This Row],[PO Number]]),"",IF(ISBLANK(IMMeter[[#This Row],[Recv Date]]),0,1))</f>
        <v/>
      </c>
      <c r="R190" s="54"/>
    </row>
    <row r="191" spans="1:18" ht="15.6" x14ac:dyDescent="0.3">
      <c r="A191" s="5" t="str">
        <f>IF(ISBLANK(IMMeter[[#This Row],[OpCo2]]),"",COUNTA(IMMeter[[#This Row],[OpCo2]])-(COUNTA(IMMeter[[#This Row],[OpCo2]])-ROW(IMMeter[[#This Row],[OpCo2]])+1))</f>
        <v/>
      </c>
      <c r="B191" s="5"/>
      <c r="C191" s="6"/>
      <c r="D191" s="6"/>
      <c r="E191" s="5"/>
      <c r="F191" s="23"/>
      <c r="G191" s="24"/>
      <c r="H191" s="5" t="str">
        <f>IF(AND(ISBLANK(IMMeter[[#This Row],[Beg Ser]]),ISBLANK(IMMeter[[#This Row],[End Ser]])),"",IMMeter[[#This Row],[End Ser]]-IMMeter[[#This Row],[Beg Ser]]+1)</f>
        <v/>
      </c>
      <c r="I191" s="7"/>
      <c r="J191" s="7"/>
      <c r="K191" s="22"/>
      <c r="L191" s="7"/>
      <c r="M191" s="11"/>
      <c r="N191" s="6"/>
      <c r="O191" s="5"/>
      <c r="P191" s="5"/>
      <c r="Q191" s="5" t="str">
        <f>IF(ISBLANK(IMMeter[[#This Row],[PO Number]]),"",IF(ISBLANK(IMMeter[[#This Row],[Recv Date]]),0,1))</f>
        <v/>
      </c>
      <c r="R191" s="54"/>
    </row>
    <row r="192" spans="1:18" ht="15.6" x14ac:dyDescent="0.3">
      <c r="A192" s="5" t="str">
        <f>IF(ISBLANK(IMMeter[[#This Row],[OpCo2]]),"",COUNTA(IMMeter[[#This Row],[OpCo2]])-(COUNTA(IMMeter[[#This Row],[OpCo2]])-ROW(IMMeter[[#This Row],[OpCo2]])+1))</f>
        <v/>
      </c>
      <c r="B192" s="5"/>
      <c r="C192" s="6"/>
      <c r="D192" s="6"/>
      <c r="E192" s="5"/>
      <c r="F192" s="23"/>
      <c r="G192" s="24"/>
      <c r="H192" s="5" t="str">
        <f>IF(AND(ISBLANK(IMMeter[[#This Row],[Beg Ser]]),ISBLANK(IMMeter[[#This Row],[End Ser]])),"",IMMeter[[#This Row],[End Ser]]-IMMeter[[#This Row],[Beg Ser]]+1)</f>
        <v/>
      </c>
      <c r="I192" s="7"/>
      <c r="J192" s="7"/>
      <c r="K192" s="22"/>
      <c r="L192" s="7"/>
      <c r="M192" s="11"/>
      <c r="N192" s="6"/>
      <c r="O192" s="5"/>
      <c r="P192" s="5"/>
      <c r="Q192" s="5" t="str">
        <f>IF(ISBLANK(IMMeter[[#This Row],[PO Number]]),"",IF(ISBLANK(IMMeter[[#This Row],[Recv Date]]),0,1))</f>
        <v/>
      </c>
      <c r="R192" s="54"/>
    </row>
    <row r="193" spans="1:18" ht="15.6" x14ac:dyDescent="0.3">
      <c r="A193" s="5" t="str">
        <f>IF(ISBLANK(IMMeter[[#This Row],[OpCo2]]),"",COUNTA(IMMeter[[#This Row],[OpCo2]])-(COUNTA(IMMeter[[#This Row],[OpCo2]])-ROW(IMMeter[[#This Row],[OpCo2]])+1))</f>
        <v/>
      </c>
      <c r="B193" s="5"/>
      <c r="C193" s="6"/>
      <c r="D193" s="6"/>
      <c r="E193" s="5"/>
      <c r="F193" s="23"/>
      <c r="G193" s="24"/>
      <c r="H193" s="5" t="str">
        <f>IF(AND(ISBLANK(IMMeter[[#This Row],[Beg Ser]]),ISBLANK(IMMeter[[#This Row],[End Ser]])),"",IMMeter[[#This Row],[End Ser]]-IMMeter[[#This Row],[Beg Ser]]+1)</f>
        <v/>
      </c>
      <c r="I193" s="7"/>
      <c r="J193" s="7"/>
      <c r="K193" s="22"/>
      <c r="L193" s="7"/>
      <c r="M193" s="11"/>
      <c r="N193" s="6"/>
      <c r="O193" s="5"/>
      <c r="P193" s="5"/>
      <c r="Q193" s="5" t="str">
        <f>IF(ISBLANK(IMMeter[[#This Row],[PO Number]]),"",IF(ISBLANK(IMMeter[[#This Row],[Recv Date]]),0,1))</f>
        <v/>
      </c>
      <c r="R193" s="54"/>
    </row>
    <row r="194" spans="1:18" ht="15.6" x14ac:dyDescent="0.3">
      <c r="A194" s="5" t="str">
        <f>IF(ISBLANK(IMMeter[[#This Row],[OpCo2]]),"",COUNTA(IMMeter[[#This Row],[OpCo2]])-(COUNTA(IMMeter[[#This Row],[OpCo2]])-ROW(IMMeter[[#This Row],[OpCo2]])+1))</f>
        <v/>
      </c>
      <c r="B194" s="5"/>
      <c r="C194" s="6"/>
      <c r="D194" s="6"/>
      <c r="E194" s="5"/>
      <c r="F194" s="23"/>
      <c r="G194" s="24"/>
      <c r="H194" s="5" t="str">
        <f>IF(AND(ISBLANK(IMMeter[[#This Row],[Beg Ser]]),ISBLANK(IMMeter[[#This Row],[End Ser]])),"",IMMeter[[#This Row],[End Ser]]-IMMeter[[#This Row],[Beg Ser]]+1)</f>
        <v/>
      </c>
      <c r="I194" s="7"/>
      <c r="J194" s="7"/>
      <c r="K194" s="22"/>
      <c r="L194" s="7"/>
      <c r="M194" s="11"/>
      <c r="N194" s="6"/>
      <c r="O194" s="5"/>
      <c r="P194" s="5"/>
      <c r="Q194" s="5" t="str">
        <f>IF(ISBLANK(IMMeter[[#This Row],[PO Number]]),"",IF(ISBLANK(IMMeter[[#This Row],[Recv Date]]),0,1))</f>
        <v/>
      </c>
      <c r="R194" s="54"/>
    </row>
    <row r="195" spans="1:18" ht="15.6" x14ac:dyDescent="0.3">
      <c r="A195" s="5" t="str">
        <f>IF(ISBLANK(IMMeter[[#This Row],[OpCo2]]),"",COUNTA(IMMeter[[#This Row],[OpCo2]])-(COUNTA(IMMeter[[#This Row],[OpCo2]])-ROW(IMMeter[[#This Row],[OpCo2]])+1))</f>
        <v/>
      </c>
      <c r="B195" s="5"/>
      <c r="C195" s="6"/>
      <c r="D195" s="6"/>
      <c r="E195" s="5"/>
      <c r="F195" s="23"/>
      <c r="G195" s="24"/>
      <c r="H195" s="5" t="str">
        <f>IF(AND(ISBLANK(IMMeter[[#This Row],[Beg Ser]]),ISBLANK(IMMeter[[#This Row],[End Ser]])),"",IMMeter[[#This Row],[End Ser]]-IMMeter[[#This Row],[Beg Ser]]+1)</f>
        <v/>
      </c>
      <c r="I195" s="7"/>
      <c r="J195" s="7"/>
      <c r="K195" s="22"/>
      <c r="L195" s="7"/>
      <c r="M195" s="11"/>
      <c r="N195" s="6"/>
      <c r="O195" s="5"/>
      <c r="P195" s="5"/>
      <c r="Q195" s="5" t="str">
        <f>IF(ISBLANK(IMMeter[[#This Row],[PO Number]]),"",IF(ISBLANK(IMMeter[[#This Row],[Recv Date]]),0,1))</f>
        <v/>
      </c>
      <c r="R195" s="54"/>
    </row>
    <row r="196" spans="1:18" ht="15.6" x14ac:dyDescent="0.3">
      <c r="A196" s="5" t="str">
        <f>IF(ISBLANK(IMMeter[[#This Row],[OpCo2]]),"",COUNTA(IMMeter[[#This Row],[OpCo2]])-(COUNTA(IMMeter[[#This Row],[OpCo2]])-ROW(IMMeter[[#This Row],[OpCo2]])+1))</f>
        <v/>
      </c>
      <c r="B196" s="5"/>
      <c r="C196" s="6"/>
      <c r="D196" s="6"/>
      <c r="E196" s="5"/>
      <c r="F196" s="23"/>
      <c r="G196" s="24"/>
      <c r="H196" s="5" t="str">
        <f>IF(AND(ISBLANK(IMMeter[[#This Row],[Beg Ser]]),ISBLANK(IMMeter[[#This Row],[End Ser]])),"",IMMeter[[#This Row],[End Ser]]-IMMeter[[#This Row],[Beg Ser]]+1)</f>
        <v/>
      </c>
      <c r="I196" s="7"/>
      <c r="J196" s="7"/>
      <c r="K196" s="22"/>
      <c r="L196" s="7"/>
      <c r="M196" s="11"/>
      <c r="N196" s="6"/>
      <c r="O196" s="5"/>
      <c r="P196" s="5"/>
      <c r="Q196" s="5" t="str">
        <f>IF(ISBLANK(IMMeter[[#This Row],[PO Number]]),"",IF(ISBLANK(IMMeter[[#This Row],[Recv Date]]),0,1))</f>
        <v/>
      </c>
      <c r="R196" s="54"/>
    </row>
    <row r="197" spans="1:18" ht="15.6" x14ac:dyDescent="0.3">
      <c r="A197" s="5" t="str">
        <f>IF(ISBLANK(IMMeter[[#This Row],[OpCo2]]),"",COUNTA(IMMeter[[#This Row],[OpCo2]])-(COUNTA(IMMeter[[#This Row],[OpCo2]])-ROW(IMMeter[[#This Row],[OpCo2]])+1))</f>
        <v/>
      </c>
      <c r="B197" s="5"/>
      <c r="C197" s="6"/>
      <c r="D197" s="6"/>
      <c r="E197" s="5"/>
      <c r="F197" s="23"/>
      <c r="G197" s="24"/>
      <c r="H197" s="5" t="str">
        <f>IF(AND(ISBLANK(IMMeter[[#This Row],[Beg Ser]]),ISBLANK(IMMeter[[#This Row],[End Ser]])),"",IMMeter[[#This Row],[End Ser]]-IMMeter[[#This Row],[Beg Ser]]+1)</f>
        <v/>
      </c>
      <c r="I197" s="7"/>
      <c r="J197" s="7"/>
      <c r="K197" s="22"/>
      <c r="L197" s="7"/>
      <c r="M197" s="11"/>
      <c r="N197" s="6"/>
      <c r="O197" s="5"/>
      <c r="P197" s="5"/>
      <c r="Q197" s="5" t="str">
        <f>IF(ISBLANK(IMMeter[[#This Row],[PO Number]]),"",IF(ISBLANK(IMMeter[[#This Row],[Recv Date]]),0,1))</f>
        <v/>
      </c>
      <c r="R197" s="54"/>
    </row>
    <row r="198" spans="1:18" ht="15.6" x14ac:dyDescent="0.3">
      <c r="A198" s="5" t="str">
        <f>IF(ISBLANK(IMMeter[[#This Row],[OpCo2]]),"",COUNTA(IMMeter[[#This Row],[OpCo2]])-(COUNTA(IMMeter[[#This Row],[OpCo2]])-ROW(IMMeter[[#This Row],[OpCo2]])+1))</f>
        <v/>
      </c>
      <c r="B198" s="5"/>
      <c r="C198" s="6"/>
      <c r="D198" s="6"/>
      <c r="E198" s="5"/>
      <c r="F198" s="23"/>
      <c r="G198" s="24"/>
      <c r="H198" s="5" t="str">
        <f>IF(AND(ISBLANK(IMMeter[[#This Row],[Beg Ser]]),ISBLANK(IMMeter[[#This Row],[End Ser]])),"",IMMeter[[#This Row],[End Ser]]-IMMeter[[#This Row],[Beg Ser]]+1)</f>
        <v/>
      </c>
      <c r="I198" s="7"/>
      <c r="J198" s="7"/>
      <c r="K198" s="22"/>
      <c r="L198" s="7"/>
      <c r="M198" s="11"/>
      <c r="N198" s="6"/>
      <c r="O198" s="5"/>
      <c r="P198" s="5"/>
      <c r="Q198" s="5" t="str">
        <f>IF(ISBLANK(IMMeter[[#This Row],[PO Number]]),"",IF(ISBLANK(IMMeter[[#This Row],[Recv Date]]),0,1))</f>
        <v/>
      </c>
      <c r="R198" s="54"/>
    </row>
    <row r="199" spans="1:18" ht="15.6" x14ac:dyDescent="0.3">
      <c r="A199" s="5" t="str">
        <f>IF(ISBLANK(IMMeter[[#This Row],[OpCo2]]),"",COUNTA(IMMeter[[#This Row],[OpCo2]])-(COUNTA(IMMeter[[#This Row],[OpCo2]])-ROW(IMMeter[[#This Row],[OpCo2]])+1))</f>
        <v/>
      </c>
      <c r="B199" s="5"/>
      <c r="C199" s="6"/>
      <c r="D199" s="6"/>
      <c r="E199" s="5"/>
      <c r="F199" s="23"/>
      <c r="G199" s="24"/>
      <c r="H199" s="5" t="str">
        <f>IF(AND(ISBLANK(IMMeter[[#This Row],[Beg Ser]]),ISBLANK(IMMeter[[#This Row],[End Ser]])),"",IMMeter[[#This Row],[End Ser]]-IMMeter[[#This Row],[Beg Ser]]+1)</f>
        <v/>
      </c>
      <c r="I199" s="7"/>
      <c r="J199" s="7"/>
      <c r="K199" s="22"/>
      <c r="L199" s="7"/>
      <c r="M199" s="11"/>
      <c r="N199" s="6"/>
      <c r="O199" s="5"/>
      <c r="P199" s="5"/>
      <c r="Q199" s="5" t="str">
        <f>IF(ISBLANK(IMMeter[[#This Row],[PO Number]]),"",IF(ISBLANK(IMMeter[[#This Row],[Recv Date]]),0,1))</f>
        <v/>
      </c>
      <c r="R199" s="54"/>
    </row>
    <row r="200" spans="1:18" ht="15.6" x14ac:dyDescent="0.3">
      <c r="A200" s="5" t="str">
        <f>IF(ISBLANK(IMMeter[[#This Row],[OpCo2]]),"",COUNTA(IMMeter[[#This Row],[OpCo2]])-(COUNTA(IMMeter[[#This Row],[OpCo2]])-ROW(IMMeter[[#This Row],[OpCo2]])+1))</f>
        <v/>
      </c>
      <c r="B200" s="5"/>
      <c r="C200" s="6"/>
      <c r="D200" s="6"/>
      <c r="E200" s="5"/>
      <c r="F200" s="23"/>
      <c r="G200" s="24"/>
      <c r="H200" s="5" t="str">
        <f>IF(AND(ISBLANK(IMMeter[[#This Row],[Beg Ser]]),ISBLANK(IMMeter[[#This Row],[End Ser]])),"",IMMeter[[#This Row],[End Ser]]-IMMeter[[#This Row],[Beg Ser]]+1)</f>
        <v/>
      </c>
      <c r="I200" s="7"/>
      <c r="J200" s="7"/>
      <c r="K200" s="22"/>
      <c r="L200" s="7"/>
      <c r="M200" s="11"/>
      <c r="N200" s="6"/>
      <c r="O200" s="5"/>
      <c r="P200" s="5"/>
      <c r="Q200" s="5" t="str">
        <f>IF(ISBLANK(IMMeter[[#This Row],[PO Number]]),"",IF(ISBLANK(IMMeter[[#This Row],[Recv Date]]),0,1))</f>
        <v/>
      </c>
      <c r="R200" s="54"/>
    </row>
    <row r="201" spans="1:18" ht="15.6" x14ac:dyDescent="0.3">
      <c r="A201" s="5" t="str">
        <f>IF(ISBLANK(IMMeter[[#This Row],[OpCo2]]),"",COUNTA(IMMeter[[#This Row],[OpCo2]])-(COUNTA(IMMeter[[#This Row],[OpCo2]])-ROW(IMMeter[[#This Row],[OpCo2]])+1))</f>
        <v/>
      </c>
      <c r="B201" s="5"/>
      <c r="C201" s="6"/>
      <c r="D201" s="6"/>
      <c r="E201" s="5"/>
      <c r="F201" s="23"/>
      <c r="G201" s="24"/>
      <c r="H201" s="5" t="str">
        <f>IF(AND(ISBLANK(IMMeter[[#This Row],[Beg Ser]]),ISBLANK(IMMeter[[#This Row],[End Ser]])),"",IMMeter[[#This Row],[End Ser]]-IMMeter[[#This Row],[Beg Ser]]+1)</f>
        <v/>
      </c>
      <c r="I201" s="7"/>
      <c r="J201" s="7"/>
      <c r="K201" s="22"/>
      <c r="L201" s="7"/>
      <c r="M201" s="11"/>
      <c r="N201" s="6"/>
      <c r="O201" s="5"/>
      <c r="P201" s="5"/>
      <c r="Q201" s="5" t="str">
        <f>IF(ISBLANK(IMMeter[[#This Row],[PO Number]]),"",IF(ISBLANK(IMMeter[[#This Row],[Recv Date]]),0,1))</f>
        <v/>
      </c>
      <c r="R201" s="54"/>
    </row>
    <row r="202" spans="1:18" ht="15.6" x14ac:dyDescent="0.3">
      <c r="A202" s="5" t="str">
        <f>IF(ISBLANK(IMMeter[[#This Row],[OpCo2]]),"",COUNTA(IMMeter[[#This Row],[OpCo2]])-(COUNTA(IMMeter[[#This Row],[OpCo2]])-ROW(IMMeter[[#This Row],[OpCo2]])+1))</f>
        <v/>
      </c>
      <c r="B202" s="5"/>
      <c r="C202" s="6"/>
      <c r="D202" s="6"/>
      <c r="E202" s="5"/>
      <c r="F202" s="23"/>
      <c r="G202" s="24"/>
      <c r="H202" s="5" t="str">
        <f>IF(AND(ISBLANK(IMMeter[[#This Row],[Beg Ser]]),ISBLANK(IMMeter[[#This Row],[End Ser]])),"",IMMeter[[#This Row],[End Ser]]-IMMeter[[#This Row],[Beg Ser]]+1)</f>
        <v/>
      </c>
      <c r="I202" s="7"/>
      <c r="J202" s="7"/>
      <c r="K202" s="22"/>
      <c r="L202" s="7"/>
      <c r="M202" s="11"/>
      <c r="N202" s="6"/>
      <c r="O202" s="5"/>
      <c r="P202" s="5"/>
      <c r="Q202" s="5" t="str">
        <f>IF(ISBLANK(IMMeter[[#This Row],[PO Number]]),"",IF(ISBLANK(IMMeter[[#This Row],[Recv Date]]),0,1))</f>
        <v/>
      </c>
      <c r="R202" s="54"/>
    </row>
    <row r="203" spans="1:18" ht="15.6" x14ac:dyDescent="0.3">
      <c r="A203" s="5" t="str">
        <f>IF(ISBLANK(IMMeter[[#This Row],[OpCo2]]),"",COUNTA(IMMeter[[#This Row],[OpCo2]])-(COUNTA(IMMeter[[#This Row],[OpCo2]])-ROW(IMMeter[[#This Row],[OpCo2]])+1))</f>
        <v/>
      </c>
      <c r="B203" s="5"/>
      <c r="C203" s="6"/>
      <c r="D203" s="6"/>
      <c r="E203" s="5"/>
      <c r="F203" s="23"/>
      <c r="G203" s="24"/>
      <c r="H203" s="5" t="str">
        <f>IF(AND(ISBLANK(IMMeter[[#This Row],[Beg Ser]]),ISBLANK(IMMeter[[#This Row],[End Ser]])),"",IMMeter[[#This Row],[End Ser]]-IMMeter[[#This Row],[Beg Ser]]+1)</f>
        <v/>
      </c>
      <c r="I203" s="7"/>
      <c r="J203" s="7"/>
      <c r="K203" s="22"/>
      <c r="L203" s="7"/>
      <c r="M203" s="11"/>
      <c r="N203" s="6"/>
      <c r="O203" s="5"/>
      <c r="P203" s="5"/>
      <c r="Q203" s="5" t="str">
        <f>IF(ISBLANK(IMMeter[[#This Row],[PO Number]]),"",IF(ISBLANK(IMMeter[[#This Row],[Recv Date]]),0,1))</f>
        <v/>
      </c>
      <c r="R203" s="54"/>
    </row>
    <row r="204" spans="1:18" ht="15.6" x14ac:dyDescent="0.3">
      <c r="A204" s="5" t="str">
        <f>IF(ISBLANK(IMMeter[[#This Row],[OpCo2]]),"",COUNTA(IMMeter[[#This Row],[OpCo2]])-(COUNTA(IMMeter[[#This Row],[OpCo2]])-ROW(IMMeter[[#This Row],[OpCo2]])+1))</f>
        <v/>
      </c>
      <c r="B204" s="5"/>
      <c r="C204" s="6"/>
      <c r="D204" s="6"/>
      <c r="E204" s="5"/>
      <c r="F204" s="23"/>
      <c r="G204" s="24"/>
      <c r="H204" s="5" t="str">
        <f>IF(AND(ISBLANK(IMMeter[[#This Row],[Beg Ser]]),ISBLANK(IMMeter[[#This Row],[End Ser]])),"",IMMeter[[#This Row],[End Ser]]-IMMeter[[#This Row],[Beg Ser]]+1)</f>
        <v/>
      </c>
      <c r="I204" s="7"/>
      <c r="J204" s="7"/>
      <c r="K204" s="22"/>
      <c r="L204" s="7"/>
      <c r="M204" s="11"/>
      <c r="N204" s="6"/>
      <c r="O204" s="5"/>
      <c r="P204" s="5"/>
      <c r="Q204" s="5" t="str">
        <f>IF(ISBLANK(IMMeter[[#This Row],[PO Number]]),"",IF(ISBLANK(IMMeter[[#This Row],[Recv Date]]),0,1))</f>
        <v/>
      </c>
      <c r="R204" s="54"/>
    </row>
    <row r="205" spans="1:18" ht="15.6" x14ac:dyDescent="0.3">
      <c r="A205" s="5" t="str">
        <f>IF(ISBLANK(IMMeter[[#This Row],[OpCo2]]),"",COUNTA(IMMeter[[#This Row],[OpCo2]])-(COUNTA(IMMeter[[#This Row],[OpCo2]])-ROW(IMMeter[[#This Row],[OpCo2]])+1))</f>
        <v/>
      </c>
      <c r="B205" s="5"/>
      <c r="C205" s="6"/>
      <c r="D205" s="6"/>
      <c r="E205" s="5"/>
      <c r="F205" s="23"/>
      <c r="G205" s="24"/>
      <c r="H205" s="5" t="str">
        <f>IF(AND(ISBLANK(IMMeter[[#This Row],[Beg Ser]]),ISBLANK(IMMeter[[#This Row],[End Ser]])),"",IMMeter[[#This Row],[End Ser]]-IMMeter[[#This Row],[Beg Ser]]+1)</f>
        <v/>
      </c>
      <c r="I205" s="7"/>
      <c r="J205" s="7"/>
      <c r="K205" s="22"/>
      <c r="L205" s="7"/>
      <c r="M205" s="11"/>
      <c r="N205" s="6"/>
      <c r="O205" s="5"/>
      <c r="P205" s="5"/>
      <c r="Q205" s="5" t="str">
        <f>IF(ISBLANK(IMMeter[[#This Row],[PO Number]]),"",IF(ISBLANK(IMMeter[[#This Row],[Recv Date]]),0,1))</f>
        <v/>
      </c>
      <c r="R205" s="54"/>
    </row>
    <row r="206" spans="1:18" ht="15.6" x14ac:dyDescent="0.3">
      <c r="A206" s="5" t="str">
        <f>IF(ISBLANK(IMMeter[[#This Row],[OpCo2]]),"",COUNTA(IMMeter[[#This Row],[OpCo2]])-(COUNTA(IMMeter[[#This Row],[OpCo2]])-ROW(IMMeter[[#This Row],[OpCo2]])+1))</f>
        <v/>
      </c>
      <c r="B206" s="5"/>
      <c r="C206" s="6"/>
      <c r="D206" s="6"/>
      <c r="E206" s="5"/>
      <c r="F206" s="23"/>
      <c r="G206" s="24"/>
      <c r="H206" s="5" t="str">
        <f>IF(AND(ISBLANK(IMMeter[[#This Row],[Beg Ser]]),ISBLANK(IMMeter[[#This Row],[End Ser]])),"",IMMeter[[#This Row],[End Ser]]-IMMeter[[#This Row],[Beg Ser]]+1)</f>
        <v/>
      </c>
      <c r="I206" s="7"/>
      <c r="J206" s="7"/>
      <c r="K206" s="22"/>
      <c r="L206" s="7"/>
      <c r="M206" s="11"/>
      <c r="N206" s="6"/>
      <c r="O206" s="5"/>
      <c r="P206" s="5"/>
      <c r="Q206" s="5" t="str">
        <f>IF(ISBLANK(IMMeter[[#This Row],[PO Number]]),"",IF(ISBLANK(IMMeter[[#This Row],[Recv Date]]),0,1))</f>
        <v/>
      </c>
      <c r="R206" s="54"/>
    </row>
    <row r="207" spans="1:18" ht="15.6" x14ac:dyDescent="0.3">
      <c r="A207" s="5" t="str">
        <f>IF(ISBLANK(IMMeter[[#This Row],[OpCo2]]),"",COUNTA(IMMeter[[#This Row],[OpCo2]])-(COUNTA(IMMeter[[#This Row],[OpCo2]])-ROW(IMMeter[[#This Row],[OpCo2]])+1))</f>
        <v/>
      </c>
      <c r="B207" s="5"/>
      <c r="C207" s="6"/>
      <c r="D207" s="6"/>
      <c r="E207" s="5"/>
      <c r="F207" s="23"/>
      <c r="G207" s="24"/>
      <c r="H207" s="5" t="str">
        <f>IF(AND(ISBLANK(IMMeter[[#This Row],[Beg Ser]]),ISBLANK(IMMeter[[#This Row],[End Ser]])),"",IMMeter[[#This Row],[End Ser]]-IMMeter[[#This Row],[Beg Ser]]+1)</f>
        <v/>
      </c>
      <c r="I207" s="7"/>
      <c r="J207" s="7"/>
      <c r="K207" s="22"/>
      <c r="L207" s="7"/>
      <c r="M207" s="11"/>
      <c r="N207" s="6"/>
      <c r="O207" s="5"/>
      <c r="P207" s="5"/>
      <c r="Q207" s="5" t="str">
        <f>IF(ISBLANK(IMMeter[[#This Row],[PO Number]]),"",IF(ISBLANK(IMMeter[[#This Row],[Recv Date]]),0,1))</f>
        <v/>
      </c>
      <c r="R207" s="54"/>
    </row>
    <row r="208" spans="1:18" ht="15.6" x14ac:dyDescent="0.3">
      <c r="A208" s="5" t="str">
        <f>IF(ISBLANK(IMMeter[[#This Row],[OpCo2]]),"",COUNTA(IMMeter[[#This Row],[OpCo2]])-(COUNTA(IMMeter[[#This Row],[OpCo2]])-ROW(IMMeter[[#This Row],[OpCo2]])+1))</f>
        <v/>
      </c>
      <c r="B208" s="5"/>
      <c r="C208" s="6"/>
      <c r="D208" s="6"/>
      <c r="E208" s="5"/>
      <c r="F208" s="23"/>
      <c r="G208" s="24"/>
      <c r="H208" s="5" t="str">
        <f>IF(AND(ISBLANK(IMMeter[[#This Row],[Beg Ser]]),ISBLANK(IMMeter[[#This Row],[End Ser]])),"",IMMeter[[#This Row],[End Ser]]-IMMeter[[#This Row],[Beg Ser]]+1)</f>
        <v/>
      </c>
      <c r="I208" s="7"/>
      <c r="J208" s="7"/>
      <c r="K208" s="22"/>
      <c r="L208" s="7"/>
      <c r="M208" s="11"/>
      <c r="N208" s="6"/>
      <c r="O208" s="5"/>
      <c r="P208" s="5"/>
      <c r="Q208" s="5" t="str">
        <f>IF(ISBLANK(IMMeter[[#This Row],[PO Number]]),"",IF(ISBLANK(IMMeter[[#This Row],[Recv Date]]),0,1))</f>
        <v/>
      </c>
      <c r="R208" s="54"/>
    </row>
    <row r="209" spans="1:18" ht="15.6" x14ac:dyDescent="0.3">
      <c r="A209" s="5" t="str">
        <f>IF(ISBLANK(IMMeter[[#This Row],[OpCo2]]),"",COUNTA(IMMeter[[#This Row],[OpCo2]])-(COUNTA(IMMeter[[#This Row],[OpCo2]])-ROW(IMMeter[[#This Row],[OpCo2]])+1))</f>
        <v/>
      </c>
      <c r="B209" s="5"/>
      <c r="C209" s="6"/>
      <c r="D209" s="6"/>
      <c r="E209" s="5"/>
      <c r="F209" s="23"/>
      <c r="G209" s="24"/>
      <c r="H209" s="5" t="str">
        <f>IF(AND(ISBLANK(IMMeter[[#This Row],[Beg Ser]]),ISBLANK(IMMeter[[#This Row],[End Ser]])),"",IMMeter[[#This Row],[End Ser]]-IMMeter[[#This Row],[Beg Ser]]+1)</f>
        <v/>
      </c>
      <c r="I209" s="7"/>
      <c r="J209" s="7"/>
      <c r="K209" s="22"/>
      <c r="L209" s="7"/>
      <c r="M209" s="11"/>
      <c r="N209" s="6"/>
      <c r="O209" s="5"/>
      <c r="P209" s="5"/>
      <c r="Q209" s="5" t="str">
        <f>IF(ISBLANK(IMMeter[[#This Row],[PO Number]]),"",IF(ISBLANK(IMMeter[[#This Row],[Recv Date]]),0,1))</f>
        <v/>
      </c>
      <c r="R209" s="54"/>
    </row>
    <row r="210" spans="1:18" ht="15.6" x14ac:dyDescent="0.3">
      <c r="A210" s="5" t="str">
        <f>IF(ISBLANK(IMMeter[[#This Row],[OpCo2]]),"",COUNTA(IMMeter[[#This Row],[OpCo2]])-(COUNTA(IMMeter[[#This Row],[OpCo2]])-ROW(IMMeter[[#This Row],[OpCo2]])+1))</f>
        <v/>
      </c>
      <c r="B210" s="5"/>
      <c r="C210" s="6"/>
      <c r="D210" s="6"/>
      <c r="E210" s="5"/>
      <c r="F210" s="23"/>
      <c r="G210" s="24"/>
      <c r="H210" s="5" t="str">
        <f>IF(AND(ISBLANK(IMMeter[[#This Row],[Beg Ser]]),ISBLANK(IMMeter[[#This Row],[End Ser]])),"",IMMeter[[#This Row],[End Ser]]-IMMeter[[#This Row],[Beg Ser]]+1)</f>
        <v/>
      </c>
      <c r="I210" s="7"/>
      <c r="J210" s="7"/>
      <c r="K210" s="22"/>
      <c r="L210" s="7"/>
      <c r="M210" s="11"/>
      <c r="N210" s="6"/>
      <c r="O210" s="5"/>
      <c r="P210" s="5"/>
      <c r="Q210" s="5" t="str">
        <f>IF(ISBLANK(IMMeter[[#This Row],[PO Number]]),"",IF(ISBLANK(IMMeter[[#This Row],[Recv Date]]),0,1))</f>
        <v/>
      </c>
      <c r="R210" s="54"/>
    </row>
    <row r="211" spans="1:18" ht="15.6" x14ac:dyDescent="0.3">
      <c r="A211" s="5" t="str">
        <f>IF(ISBLANK(IMMeter[[#This Row],[OpCo2]]),"",COUNTA(IMMeter[[#This Row],[OpCo2]])-(COUNTA(IMMeter[[#This Row],[OpCo2]])-ROW(IMMeter[[#This Row],[OpCo2]])+1))</f>
        <v/>
      </c>
      <c r="B211" s="5"/>
      <c r="C211" s="6"/>
      <c r="D211" s="6"/>
      <c r="E211" s="5"/>
      <c r="F211" s="23"/>
      <c r="G211" s="24"/>
      <c r="H211" s="5" t="str">
        <f>IF(AND(ISBLANK(IMMeter[[#This Row],[Beg Ser]]),ISBLANK(IMMeter[[#This Row],[End Ser]])),"",IMMeter[[#This Row],[End Ser]]-IMMeter[[#This Row],[Beg Ser]]+1)</f>
        <v/>
      </c>
      <c r="I211" s="7"/>
      <c r="J211" s="7"/>
      <c r="K211" s="22"/>
      <c r="L211" s="7"/>
      <c r="M211" s="11"/>
      <c r="N211" s="6"/>
      <c r="O211" s="5"/>
      <c r="P211" s="5"/>
      <c r="Q211" s="5" t="str">
        <f>IF(ISBLANK(IMMeter[[#This Row],[PO Number]]),"",IF(ISBLANK(IMMeter[[#This Row],[Recv Date]]),0,1))</f>
        <v/>
      </c>
      <c r="R211" s="54"/>
    </row>
    <row r="212" spans="1:18" ht="15.6" x14ac:dyDescent="0.3">
      <c r="A212" s="5" t="str">
        <f>IF(ISBLANK(IMMeter[[#This Row],[OpCo2]]),"",COUNTA(IMMeter[[#This Row],[OpCo2]])-(COUNTA(IMMeter[[#This Row],[OpCo2]])-ROW(IMMeter[[#This Row],[OpCo2]])+1))</f>
        <v/>
      </c>
      <c r="B212" s="5"/>
      <c r="C212" s="6"/>
      <c r="D212" s="6"/>
      <c r="E212" s="5"/>
      <c r="F212" s="23"/>
      <c r="G212" s="24"/>
      <c r="H212" s="5" t="str">
        <f>IF(AND(ISBLANK(IMMeter[[#This Row],[Beg Ser]]),ISBLANK(IMMeter[[#This Row],[End Ser]])),"",IMMeter[[#This Row],[End Ser]]-IMMeter[[#This Row],[Beg Ser]]+1)</f>
        <v/>
      </c>
      <c r="I212" s="7"/>
      <c r="J212" s="7"/>
      <c r="K212" s="22"/>
      <c r="L212" s="7"/>
      <c r="M212" s="11"/>
      <c r="N212" s="6"/>
      <c r="O212" s="5"/>
      <c r="P212" s="5"/>
      <c r="Q212" s="5" t="str">
        <f>IF(ISBLANK(IMMeter[[#This Row],[PO Number]]),"",IF(ISBLANK(IMMeter[[#This Row],[Recv Date]]),0,1))</f>
        <v/>
      </c>
      <c r="R212" s="54"/>
    </row>
    <row r="213" spans="1:18" ht="15.6" x14ac:dyDescent="0.3">
      <c r="A213" s="5" t="str">
        <f>IF(ISBLANK(IMMeter[[#This Row],[OpCo2]]),"",COUNTA(IMMeter[[#This Row],[OpCo2]])-(COUNTA(IMMeter[[#This Row],[OpCo2]])-ROW(IMMeter[[#This Row],[OpCo2]])+1))</f>
        <v/>
      </c>
      <c r="B213" s="5"/>
      <c r="C213" s="6"/>
      <c r="D213" s="6"/>
      <c r="E213" s="5"/>
      <c r="F213" s="23"/>
      <c r="G213" s="24"/>
      <c r="H213" s="5" t="str">
        <f>IF(AND(ISBLANK(IMMeter[[#This Row],[Beg Ser]]),ISBLANK(IMMeter[[#This Row],[End Ser]])),"",IMMeter[[#This Row],[End Ser]]-IMMeter[[#This Row],[Beg Ser]]+1)</f>
        <v/>
      </c>
      <c r="I213" s="7"/>
      <c r="J213" s="7"/>
      <c r="K213" s="22"/>
      <c r="L213" s="7"/>
      <c r="M213" s="11"/>
      <c r="N213" s="6"/>
      <c r="O213" s="5"/>
      <c r="P213" s="5"/>
      <c r="Q213" s="5" t="str">
        <f>IF(ISBLANK(IMMeter[[#This Row],[PO Number]]),"",IF(ISBLANK(IMMeter[[#This Row],[Recv Date]]),0,1))</f>
        <v/>
      </c>
      <c r="R213" s="54"/>
    </row>
    <row r="214" spans="1:18" ht="15.6" x14ac:dyDescent="0.3">
      <c r="A214" s="5" t="str">
        <f>IF(ISBLANK(IMMeter[[#This Row],[OpCo2]]),"",COUNTA(IMMeter[[#This Row],[OpCo2]])-(COUNTA(IMMeter[[#This Row],[OpCo2]])-ROW(IMMeter[[#This Row],[OpCo2]])+1))</f>
        <v/>
      </c>
      <c r="B214" s="5"/>
      <c r="C214" s="6"/>
      <c r="D214" s="6"/>
      <c r="E214" s="5"/>
      <c r="F214" s="23"/>
      <c r="G214" s="24"/>
      <c r="H214" s="5" t="str">
        <f>IF(AND(ISBLANK(IMMeter[[#This Row],[Beg Ser]]),ISBLANK(IMMeter[[#This Row],[End Ser]])),"",IMMeter[[#This Row],[End Ser]]-IMMeter[[#This Row],[Beg Ser]]+1)</f>
        <v/>
      </c>
      <c r="I214" s="7"/>
      <c r="J214" s="7"/>
      <c r="K214" s="22"/>
      <c r="L214" s="7"/>
      <c r="M214" s="11"/>
      <c r="N214" s="6"/>
      <c r="O214" s="5"/>
      <c r="P214" s="5"/>
      <c r="Q214" s="5" t="str">
        <f>IF(ISBLANK(IMMeter[[#This Row],[PO Number]]),"",IF(ISBLANK(IMMeter[[#This Row],[Recv Date]]),0,1))</f>
        <v/>
      </c>
      <c r="R214" s="54"/>
    </row>
    <row r="215" spans="1:18" ht="15.6" x14ac:dyDescent="0.3">
      <c r="A215" s="5" t="str">
        <f>IF(ISBLANK(IMMeter[[#This Row],[OpCo2]]),"",COUNTA(IMMeter[[#This Row],[OpCo2]])-(COUNTA(IMMeter[[#This Row],[OpCo2]])-ROW(IMMeter[[#This Row],[OpCo2]])+1))</f>
        <v/>
      </c>
      <c r="B215" s="5"/>
      <c r="C215" s="6"/>
      <c r="D215" s="6"/>
      <c r="E215" s="5"/>
      <c r="F215" s="23"/>
      <c r="G215" s="24"/>
      <c r="H215" s="5" t="str">
        <f>IF(AND(ISBLANK(IMMeter[[#This Row],[Beg Ser]]),ISBLANK(IMMeter[[#This Row],[End Ser]])),"",IMMeter[[#This Row],[End Ser]]-IMMeter[[#This Row],[Beg Ser]]+1)</f>
        <v/>
      </c>
      <c r="I215" s="7"/>
      <c r="J215" s="7"/>
      <c r="K215" s="22"/>
      <c r="L215" s="7"/>
      <c r="M215" s="11"/>
      <c r="N215" s="6"/>
      <c r="O215" s="5"/>
      <c r="P215" s="5"/>
      <c r="Q215" s="5" t="str">
        <f>IF(ISBLANK(IMMeter[[#This Row],[PO Number]]),"",IF(ISBLANK(IMMeter[[#This Row],[Recv Date]]),0,1))</f>
        <v/>
      </c>
      <c r="R215" s="54"/>
    </row>
    <row r="216" spans="1:18" ht="15.6" x14ac:dyDescent="0.3">
      <c r="A216" s="5" t="str">
        <f>IF(ISBLANK(IMMeter[[#This Row],[OpCo2]]),"",COUNTA(IMMeter[[#This Row],[OpCo2]])-(COUNTA(IMMeter[[#This Row],[OpCo2]])-ROW(IMMeter[[#This Row],[OpCo2]])+1))</f>
        <v/>
      </c>
      <c r="B216" s="5"/>
      <c r="C216" s="6"/>
      <c r="D216" s="6"/>
      <c r="E216" s="5"/>
      <c r="F216" s="23"/>
      <c r="G216" s="24"/>
      <c r="H216" s="5" t="str">
        <f>IF(AND(ISBLANK(IMMeter[[#This Row],[Beg Ser]]),ISBLANK(IMMeter[[#This Row],[End Ser]])),"",IMMeter[[#This Row],[End Ser]]-IMMeter[[#This Row],[Beg Ser]]+1)</f>
        <v/>
      </c>
      <c r="I216" s="7"/>
      <c r="J216" s="7"/>
      <c r="K216" s="22"/>
      <c r="L216" s="7"/>
      <c r="M216" s="11"/>
      <c r="N216" s="6"/>
      <c r="O216" s="5"/>
      <c r="P216" s="5"/>
      <c r="Q216" s="5" t="str">
        <f>IF(ISBLANK(IMMeter[[#This Row],[PO Number]]),"",IF(ISBLANK(IMMeter[[#This Row],[Recv Date]]),0,1))</f>
        <v/>
      </c>
      <c r="R216" s="54"/>
    </row>
    <row r="217" spans="1:18" ht="15.6" x14ac:dyDescent="0.3">
      <c r="A217" s="5" t="str">
        <f>IF(ISBLANK(IMMeter[[#This Row],[OpCo2]]),"",COUNTA(IMMeter[[#This Row],[OpCo2]])-(COUNTA(IMMeter[[#This Row],[OpCo2]])-ROW(IMMeter[[#This Row],[OpCo2]])+1))</f>
        <v/>
      </c>
      <c r="B217" s="5"/>
      <c r="C217" s="6"/>
      <c r="D217" s="6"/>
      <c r="E217" s="5"/>
      <c r="F217" s="23"/>
      <c r="G217" s="24"/>
      <c r="H217" s="5" t="str">
        <f>IF(AND(ISBLANK(IMMeter[[#This Row],[Beg Ser]]),ISBLANK(IMMeter[[#This Row],[End Ser]])),"",IMMeter[[#This Row],[End Ser]]-IMMeter[[#This Row],[Beg Ser]]+1)</f>
        <v/>
      </c>
      <c r="I217" s="7"/>
      <c r="J217" s="7"/>
      <c r="K217" s="22"/>
      <c r="L217" s="7"/>
      <c r="M217" s="11"/>
      <c r="N217" s="6"/>
      <c r="O217" s="5"/>
      <c r="P217" s="5"/>
      <c r="Q217" s="5" t="str">
        <f>IF(ISBLANK(IMMeter[[#This Row],[PO Number]]),"",IF(ISBLANK(IMMeter[[#This Row],[Recv Date]]),0,1))</f>
        <v/>
      </c>
      <c r="R217" s="54"/>
    </row>
    <row r="218" spans="1:18" ht="15.6" x14ac:dyDescent="0.3">
      <c r="A218" s="5" t="str">
        <f>IF(ISBLANK(IMMeter[[#This Row],[OpCo2]]),"",COUNTA(IMMeter[[#This Row],[OpCo2]])-(COUNTA(IMMeter[[#This Row],[OpCo2]])-ROW(IMMeter[[#This Row],[OpCo2]])+1))</f>
        <v/>
      </c>
      <c r="B218" s="5"/>
      <c r="C218" s="6"/>
      <c r="D218" s="6"/>
      <c r="E218" s="5"/>
      <c r="F218" s="23"/>
      <c r="G218" s="24"/>
      <c r="H218" s="5" t="str">
        <f>IF(AND(ISBLANK(IMMeter[[#This Row],[Beg Ser]]),ISBLANK(IMMeter[[#This Row],[End Ser]])),"",IMMeter[[#This Row],[End Ser]]-IMMeter[[#This Row],[Beg Ser]]+1)</f>
        <v/>
      </c>
      <c r="I218" s="7"/>
      <c r="J218" s="7"/>
      <c r="K218" s="22"/>
      <c r="L218" s="7"/>
      <c r="M218" s="11"/>
      <c r="N218" s="6"/>
      <c r="O218" s="5"/>
      <c r="P218" s="5"/>
      <c r="Q218" s="5" t="str">
        <f>IF(ISBLANK(IMMeter[[#This Row],[PO Number]]),"",IF(ISBLANK(IMMeter[[#This Row],[Recv Date]]),0,1))</f>
        <v/>
      </c>
      <c r="R218" s="54"/>
    </row>
    <row r="219" spans="1:18" ht="15.6" x14ac:dyDescent="0.3">
      <c r="A219" s="5" t="str">
        <f>IF(ISBLANK(IMMeter[[#This Row],[OpCo2]]),"",COUNTA(IMMeter[[#This Row],[OpCo2]])-(COUNTA(IMMeter[[#This Row],[OpCo2]])-ROW(IMMeter[[#This Row],[OpCo2]])+1))</f>
        <v/>
      </c>
      <c r="B219" s="5"/>
      <c r="C219" s="6"/>
      <c r="D219" s="6"/>
      <c r="E219" s="5"/>
      <c r="F219" s="23"/>
      <c r="G219" s="24"/>
      <c r="H219" s="5" t="str">
        <f>IF(AND(ISBLANK(IMMeter[[#This Row],[Beg Ser]]),ISBLANK(IMMeter[[#This Row],[End Ser]])),"",IMMeter[[#This Row],[End Ser]]-IMMeter[[#This Row],[Beg Ser]]+1)</f>
        <v/>
      </c>
      <c r="I219" s="7"/>
      <c r="J219" s="7"/>
      <c r="K219" s="22"/>
      <c r="L219" s="7"/>
      <c r="M219" s="11"/>
      <c r="N219" s="6"/>
      <c r="O219" s="5"/>
      <c r="P219" s="5"/>
      <c r="Q219" s="5" t="str">
        <f>IF(ISBLANK(IMMeter[[#This Row],[PO Number]]),"",IF(ISBLANK(IMMeter[[#This Row],[Recv Date]]),0,1))</f>
        <v/>
      </c>
      <c r="R219" s="54"/>
    </row>
    <row r="220" spans="1:18" ht="15.6" x14ac:dyDescent="0.3">
      <c r="A220" s="5" t="str">
        <f>IF(ISBLANK(IMMeter[[#This Row],[OpCo2]]),"",COUNTA(IMMeter[[#This Row],[OpCo2]])-(COUNTA(IMMeter[[#This Row],[OpCo2]])-ROW(IMMeter[[#This Row],[OpCo2]])+1))</f>
        <v/>
      </c>
      <c r="B220" s="5"/>
      <c r="C220" s="6"/>
      <c r="D220" s="6"/>
      <c r="E220" s="5"/>
      <c r="F220" s="23"/>
      <c r="G220" s="24"/>
      <c r="H220" s="5" t="str">
        <f>IF(AND(ISBLANK(IMMeter[[#This Row],[Beg Ser]]),ISBLANK(IMMeter[[#This Row],[End Ser]])),"",IMMeter[[#This Row],[End Ser]]-IMMeter[[#This Row],[Beg Ser]]+1)</f>
        <v/>
      </c>
      <c r="I220" s="7"/>
      <c r="J220" s="7"/>
      <c r="K220" s="22"/>
      <c r="L220" s="7"/>
      <c r="M220" s="11"/>
      <c r="N220" s="6"/>
      <c r="O220" s="5"/>
      <c r="P220" s="5"/>
      <c r="Q220" s="5" t="str">
        <f>IF(ISBLANK(IMMeter[[#This Row],[PO Number]]),"",IF(ISBLANK(IMMeter[[#This Row],[Recv Date]]),0,1))</f>
        <v/>
      </c>
      <c r="R220" s="54"/>
    </row>
    <row r="221" spans="1:18" ht="15.6" x14ac:dyDescent="0.3">
      <c r="A221" s="5" t="str">
        <f>IF(ISBLANK(IMMeter[[#This Row],[OpCo2]]),"",COUNTA(IMMeter[[#This Row],[OpCo2]])-(COUNTA(IMMeter[[#This Row],[OpCo2]])-ROW(IMMeter[[#This Row],[OpCo2]])+1))</f>
        <v/>
      </c>
      <c r="B221" s="5"/>
      <c r="C221" s="6"/>
      <c r="D221" s="6"/>
      <c r="E221" s="5"/>
      <c r="F221" s="23"/>
      <c r="G221" s="24"/>
      <c r="H221" s="5" t="str">
        <f>IF(AND(ISBLANK(IMMeter[[#This Row],[Beg Ser]]),ISBLANK(IMMeter[[#This Row],[End Ser]])),"",IMMeter[[#This Row],[End Ser]]-IMMeter[[#This Row],[Beg Ser]]+1)</f>
        <v/>
      </c>
      <c r="I221" s="7"/>
      <c r="J221" s="7"/>
      <c r="K221" s="22"/>
      <c r="L221" s="7"/>
      <c r="M221" s="11"/>
      <c r="N221" s="6"/>
      <c r="O221" s="5"/>
      <c r="P221" s="5"/>
      <c r="Q221" s="5" t="str">
        <f>IF(ISBLANK(IMMeter[[#This Row],[PO Number]]),"",IF(ISBLANK(IMMeter[[#This Row],[Recv Date]]),0,1))</f>
        <v/>
      </c>
      <c r="R221" s="54"/>
    </row>
    <row r="222" spans="1:18" ht="15.6" x14ac:dyDescent="0.3">
      <c r="A222" s="5" t="str">
        <f>IF(ISBLANK(IMMeter[[#This Row],[OpCo2]]),"",COUNTA(IMMeter[[#This Row],[OpCo2]])-(COUNTA(IMMeter[[#This Row],[OpCo2]])-ROW(IMMeter[[#This Row],[OpCo2]])+1))</f>
        <v/>
      </c>
      <c r="B222" s="5"/>
      <c r="C222" s="6"/>
      <c r="D222" s="6"/>
      <c r="E222" s="5"/>
      <c r="F222" s="23"/>
      <c r="G222" s="24"/>
      <c r="H222" s="5" t="str">
        <f>IF(AND(ISBLANK(IMMeter[[#This Row],[Beg Ser]]),ISBLANK(IMMeter[[#This Row],[End Ser]])),"",IMMeter[[#This Row],[End Ser]]-IMMeter[[#This Row],[Beg Ser]]+1)</f>
        <v/>
      </c>
      <c r="I222" s="7"/>
      <c r="J222" s="7"/>
      <c r="K222" s="22"/>
      <c r="L222" s="7"/>
      <c r="M222" s="11"/>
      <c r="N222" s="6"/>
      <c r="O222" s="5"/>
      <c r="P222" s="5"/>
      <c r="Q222" s="5" t="str">
        <f>IF(ISBLANK(IMMeter[[#This Row],[PO Number]]),"",IF(ISBLANK(IMMeter[[#This Row],[Recv Date]]),0,1))</f>
        <v/>
      </c>
      <c r="R222" s="54"/>
    </row>
    <row r="223" spans="1:18" ht="15.6" x14ac:dyDescent="0.3">
      <c r="A223" s="5" t="str">
        <f>IF(ISBLANK(IMMeter[[#This Row],[OpCo2]]),"",COUNTA(IMMeter[[#This Row],[OpCo2]])-(COUNTA(IMMeter[[#This Row],[OpCo2]])-ROW(IMMeter[[#This Row],[OpCo2]])+1))</f>
        <v/>
      </c>
      <c r="B223" s="5"/>
      <c r="C223" s="6"/>
      <c r="D223" s="6"/>
      <c r="E223" s="5"/>
      <c r="F223" s="23"/>
      <c r="G223" s="24"/>
      <c r="H223" s="5" t="str">
        <f>IF(AND(ISBLANK(IMMeter[[#This Row],[Beg Ser]]),ISBLANK(IMMeter[[#This Row],[End Ser]])),"",IMMeter[[#This Row],[End Ser]]-IMMeter[[#This Row],[Beg Ser]]+1)</f>
        <v/>
      </c>
      <c r="I223" s="7"/>
      <c r="J223" s="7"/>
      <c r="K223" s="22"/>
      <c r="L223" s="7"/>
      <c r="M223" s="11"/>
      <c r="N223" s="6"/>
      <c r="O223" s="5"/>
      <c r="P223" s="5"/>
      <c r="Q223" s="5" t="str">
        <f>IF(ISBLANK(IMMeter[[#This Row],[PO Number]]),"",IF(ISBLANK(IMMeter[[#This Row],[Recv Date]]),0,1))</f>
        <v/>
      </c>
      <c r="R223" s="54"/>
    </row>
    <row r="224" spans="1:18" ht="15.6" x14ac:dyDescent="0.3">
      <c r="A224" s="5" t="str">
        <f>IF(ISBLANK(IMMeter[[#This Row],[OpCo2]]),"",COUNTA(IMMeter[[#This Row],[OpCo2]])-(COUNTA(IMMeter[[#This Row],[OpCo2]])-ROW(IMMeter[[#This Row],[OpCo2]])+1))</f>
        <v/>
      </c>
      <c r="B224" s="5"/>
      <c r="C224" s="6"/>
      <c r="D224" s="6"/>
      <c r="E224" s="5"/>
      <c r="F224" s="23"/>
      <c r="G224" s="24"/>
      <c r="H224" s="5" t="str">
        <f>IF(AND(ISBLANK(IMMeter[[#This Row],[Beg Ser]]),ISBLANK(IMMeter[[#This Row],[End Ser]])),"",IMMeter[[#This Row],[End Ser]]-IMMeter[[#This Row],[Beg Ser]]+1)</f>
        <v/>
      </c>
      <c r="I224" s="7"/>
      <c r="J224" s="7"/>
      <c r="K224" s="22"/>
      <c r="L224" s="7"/>
      <c r="M224" s="11"/>
      <c r="N224" s="6"/>
      <c r="O224" s="5"/>
      <c r="P224" s="5"/>
      <c r="Q224" s="5" t="str">
        <f>IF(ISBLANK(IMMeter[[#This Row],[PO Number]]),"",IF(ISBLANK(IMMeter[[#This Row],[Recv Date]]),0,1))</f>
        <v/>
      </c>
      <c r="R224" s="54"/>
    </row>
    <row r="225" spans="1:18" ht="15.6" x14ac:dyDescent="0.3">
      <c r="A225" s="5" t="str">
        <f>IF(ISBLANK(IMMeter[[#This Row],[OpCo2]]),"",COUNTA(IMMeter[[#This Row],[OpCo2]])-(COUNTA(IMMeter[[#This Row],[OpCo2]])-ROW(IMMeter[[#This Row],[OpCo2]])+1))</f>
        <v/>
      </c>
      <c r="B225" s="5"/>
      <c r="C225" s="6"/>
      <c r="D225" s="6"/>
      <c r="E225" s="5"/>
      <c r="F225" s="23"/>
      <c r="G225" s="24"/>
      <c r="H225" s="5" t="str">
        <f>IF(AND(ISBLANK(IMMeter[[#This Row],[Beg Ser]]),ISBLANK(IMMeter[[#This Row],[End Ser]])),"",IMMeter[[#This Row],[End Ser]]-IMMeter[[#This Row],[Beg Ser]]+1)</f>
        <v/>
      </c>
      <c r="I225" s="7"/>
      <c r="J225" s="7"/>
      <c r="K225" s="22"/>
      <c r="L225" s="7"/>
      <c r="M225" s="11"/>
      <c r="N225" s="6"/>
      <c r="O225" s="5"/>
      <c r="P225" s="5"/>
      <c r="Q225" s="5" t="str">
        <f>IF(ISBLANK(IMMeter[[#This Row],[PO Number]]),"",IF(ISBLANK(IMMeter[[#This Row],[Recv Date]]),0,1))</f>
        <v/>
      </c>
      <c r="R225" s="54"/>
    </row>
    <row r="226" spans="1:18" ht="15.6" x14ac:dyDescent="0.3">
      <c r="A226" s="5" t="str">
        <f>IF(ISBLANK(IMMeter[[#This Row],[OpCo2]]),"",COUNTA(IMMeter[[#This Row],[OpCo2]])-(COUNTA(IMMeter[[#This Row],[OpCo2]])-ROW(IMMeter[[#This Row],[OpCo2]])+1))</f>
        <v/>
      </c>
      <c r="B226" s="5"/>
      <c r="C226" s="6"/>
      <c r="D226" s="6"/>
      <c r="E226" s="5"/>
      <c r="F226" s="23"/>
      <c r="G226" s="24"/>
      <c r="H226" s="5" t="str">
        <f>IF(AND(ISBLANK(IMMeter[[#This Row],[Beg Ser]]),ISBLANK(IMMeter[[#This Row],[End Ser]])),"",IMMeter[[#This Row],[End Ser]]-IMMeter[[#This Row],[Beg Ser]]+1)</f>
        <v/>
      </c>
      <c r="I226" s="7"/>
      <c r="J226" s="7"/>
      <c r="K226" s="22"/>
      <c r="L226" s="7"/>
      <c r="M226" s="11"/>
      <c r="N226" s="6"/>
      <c r="O226" s="5"/>
      <c r="P226" s="5"/>
      <c r="Q226" s="5" t="str">
        <f>IF(ISBLANK(IMMeter[[#This Row],[PO Number]]),"",IF(ISBLANK(IMMeter[[#This Row],[Recv Date]]),0,1))</f>
        <v/>
      </c>
      <c r="R226" s="54"/>
    </row>
    <row r="227" spans="1:18" ht="15.6" x14ac:dyDescent="0.3">
      <c r="A227" s="5" t="str">
        <f>IF(ISBLANK(IMMeter[[#This Row],[OpCo2]]),"",COUNTA(IMMeter[[#This Row],[OpCo2]])-(COUNTA(IMMeter[[#This Row],[OpCo2]])-ROW(IMMeter[[#This Row],[OpCo2]])+1))</f>
        <v/>
      </c>
      <c r="B227" s="5"/>
      <c r="C227" s="6"/>
      <c r="D227" s="6"/>
      <c r="E227" s="5"/>
      <c r="F227" s="23"/>
      <c r="G227" s="24"/>
      <c r="H227" s="5" t="str">
        <f>IF(AND(ISBLANK(IMMeter[[#This Row],[Beg Ser]]),ISBLANK(IMMeter[[#This Row],[End Ser]])),"",IMMeter[[#This Row],[End Ser]]-IMMeter[[#This Row],[Beg Ser]]+1)</f>
        <v/>
      </c>
      <c r="I227" s="7"/>
      <c r="J227" s="7"/>
      <c r="K227" s="22"/>
      <c r="L227" s="7"/>
      <c r="M227" s="11"/>
      <c r="N227" s="6"/>
      <c r="O227" s="5"/>
      <c r="P227" s="5"/>
      <c r="Q227" s="5" t="str">
        <f>IF(ISBLANK(IMMeter[[#This Row],[PO Number]]),"",IF(ISBLANK(IMMeter[[#This Row],[Recv Date]]),0,1))</f>
        <v/>
      </c>
      <c r="R227" s="54"/>
    </row>
    <row r="228" spans="1:18" ht="15.6" x14ac:dyDescent="0.3">
      <c r="A228" s="5" t="str">
        <f>IF(ISBLANK(IMMeter[[#This Row],[OpCo2]]),"",COUNTA(IMMeter[[#This Row],[OpCo2]])-(COUNTA(IMMeter[[#This Row],[OpCo2]])-ROW(IMMeter[[#This Row],[OpCo2]])+1))</f>
        <v/>
      </c>
      <c r="B228" s="5"/>
      <c r="C228" s="6"/>
      <c r="D228" s="6"/>
      <c r="E228" s="5"/>
      <c r="F228" s="23"/>
      <c r="G228" s="24"/>
      <c r="H228" s="5" t="str">
        <f>IF(AND(ISBLANK(IMMeter[[#This Row],[Beg Ser]]),ISBLANK(IMMeter[[#This Row],[End Ser]])),"",IMMeter[[#This Row],[End Ser]]-IMMeter[[#This Row],[Beg Ser]]+1)</f>
        <v/>
      </c>
      <c r="I228" s="7"/>
      <c r="J228" s="7"/>
      <c r="K228" s="22"/>
      <c r="L228" s="7"/>
      <c r="M228" s="11"/>
      <c r="N228" s="6"/>
      <c r="O228" s="5"/>
      <c r="P228" s="5"/>
      <c r="Q228" s="5" t="str">
        <f>IF(ISBLANK(IMMeter[[#This Row],[PO Number]]),"",IF(ISBLANK(IMMeter[[#This Row],[Recv Date]]),0,1))</f>
        <v/>
      </c>
      <c r="R228" s="54"/>
    </row>
    <row r="229" spans="1:18" ht="15.6" x14ac:dyDescent="0.3">
      <c r="A229" s="5" t="str">
        <f>IF(ISBLANK(IMMeter[[#This Row],[OpCo2]]),"",COUNTA(IMMeter[[#This Row],[OpCo2]])-(COUNTA(IMMeter[[#This Row],[OpCo2]])-ROW(IMMeter[[#This Row],[OpCo2]])+1))</f>
        <v/>
      </c>
      <c r="B229" s="5"/>
      <c r="C229" s="6"/>
      <c r="D229" s="6"/>
      <c r="E229" s="5"/>
      <c r="F229" s="23"/>
      <c r="G229" s="24"/>
      <c r="H229" s="5" t="str">
        <f>IF(AND(ISBLANK(IMMeter[[#This Row],[Beg Ser]]),ISBLANK(IMMeter[[#This Row],[End Ser]])),"",IMMeter[[#This Row],[End Ser]]-IMMeter[[#This Row],[Beg Ser]]+1)</f>
        <v/>
      </c>
      <c r="I229" s="7"/>
      <c r="J229" s="7"/>
      <c r="K229" s="22"/>
      <c r="L229" s="7"/>
      <c r="M229" s="11"/>
      <c r="N229" s="6"/>
      <c r="O229" s="5"/>
      <c r="P229" s="5"/>
      <c r="Q229" s="5" t="str">
        <f>IF(ISBLANK(IMMeter[[#This Row],[PO Number]]),"",IF(ISBLANK(IMMeter[[#This Row],[Recv Date]]),0,1))</f>
        <v/>
      </c>
      <c r="R229" s="54"/>
    </row>
    <row r="230" spans="1:18" ht="15.6" x14ac:dyDescent="0.3">
      <c r="A230" s="5" t="str">
        <f>IF(ISBLANK(IMMeter[[#This Row],[OpCo2]]),"",COUNTA(IMMeter[[#This Row],[OpCo2]])-(COUNTA(IMMeter[[#This Row],[OpCo2]])-ROW(IMMeter[[#This Row],[OpCo2]])+1))</f>
        <v/>
      </c>
      <c r="B230" s="5"/>
      <c r="C230" s="6"/>
      <c r="D230" s="6"/>
      <c r="E230" s="5"/>
      <c r="F230" s="23"/>
      <c r="G230" s="24"/>
      <c r="H230" s="5" t="str">
        <f>IF(AND(ISBLANK(IMMeter[[#This Row],[Beg Ser]]),ISBLANK(IMMeter[[#This Row],[End Ser]])),"",IMMeter[[#This Row],[End Ser]]-IMMeter[[#This Row],[Beg Ser]]+1)</f>
        <v/>
      </c>
      <c r="I230" s="7"/>
      <c r="J230" s="7"/>
      <c r="K230" s="22"/>
      <c r="L230" s="7"/>
      <c r="M230" s="11"/>
      <c r="N230" s="6"/>
      <c r="O230" s="5"/>
      <c r="P230" s="5"/>
      <c r="Q230" s="5" t="str">
        <f>IF(ISBLANK(IMMeter[[#This Row],[PO Number]]),"",IF(ISBLANK(IMMeter[[#This Row],[Recv Date]]),0,1))</f>
        <v/>
      </c>
      <c r="R230" s="54"/>
    </row>
    <row r="231" spans="1:18" ht="15.6" x14ac:dyDescent="0.3">
      <c r="A231" s="5" t="str">
        <f>IF(ISBLANK(IMMeter[[#This Row],[OpCo2]]),"",COUNTA(IMMeter[[#This Row],[OpCo2]])-(COUNTA(IMMeter[[#This Row],[OpCo2]])-ROW(IMMeter[[#This Row],[OpCo2]])+1))</f>
        <v/>
      </c>
      <c r="B231" s="5"/>
      <c r="C231" s="6"/>
      <c r="D231" s="6"/>
      <c r="E231" s="5"/>
      <c r="F231" s="23"/>
      <c r="G231" s="24"/>
      <c r="H231" s="5" t="str">
        <f>IF(AND(ISBLANK(IMMeter[[#This Row],[Beg Ser]]),ISBLANK(IMMeter[[#This Row],[End Ser]])),"",IMMeter[[#This Row],[End Ser]]-IMMeter[[#This Row],[Beg Ser]]+1)</f>
        <v/>
      </c>
      <c r="I231" s="7"/>
      <c r="J231" s="7"/>
      <c r="K231" s="22"/>
      <c r="L231" s="7"/>
      <c r="M231" s="11"/>
      <c r="N231" s="6"/>
      <c r="O231" s="5"/>
      <c r="P231" s="5"/>
      <c r="Q231" s="5" t="str">
        <f>IF(ISBLANK(IMMeter[[#This Row],[PO Number]]),"",IF(ISBLANK(IMMeter[[#This Row],[Recv Date]]),0,1))</f>
        <v/>
      </c>
      <c r="R231" s="54"/>
    </row>
    <row r="232" spans="1:18" ht="15.6" x14ac:dyDescent="0.3">
      <c r="A232" s="5" t="str">
        <f>IF(ISBLANK(IMMeter[[#This Row],[OpCo2]]),"",COUNTA(IMMeter[[#This Row],[OpCo2]])-(COUNTA(IMMeter[[#This Row],[OpCo2]])-ROW(IMMeter[[#This Row],[OpCo2]])+1))</f>
        <v/>
      </c>
      <c r="B232" s="5"/>
      <c r="C232" s="6"/>
      <c r="D232" s="6"/>
      <c r="E232" s="5"/>
      <c r="F232" s="23"/>
      <c r="G232" s="24"/>
      <c r="H232" s="5" t="str">
        <f>IF(AND(ISBLANK(IMMeter[[#This Row],[Beg Ser]]),ISBLANK(IMMeter[[#This Row],[End Ser]])),"",IMMeter[[#This Row],[End Ser]]-IMMeter[[#This Row],[Beg Ser]]+1)</f>
        <v/>
      </c>
      <c r="I232" s="7"/>
      <c r="J232" s="7"/>
      <c r="K232" s="22"/>
      <c r="L232" s="7"/>
      <c r="M232" s="11"/>
      <c r="N232" s="6"/>
      <c r="O232" s="5"/>
      <c r="P232" s="5"/>
      <c r="Q232" s="5" t="str">
        <f>IF(ISBLANK(IMMeter[[#This Row],[PO Number]]),"",IF(ISBLANK(IMMeter[[#This Row],[Recv Date]]),0,1))</f>
        <v/>
      </c>
      <c r="R232" s="54"/>
    </row>
    <row r="233" spans="1:18" ht="15.6" x14ac:dyDescent="0.3">
      <c r="A233" s="5" t="str">
        <f>IF(ISBLANK(IMMeter[[#This Row],[OpCo2]]),"",COUNTA(IMMeter[[#This Row],[OpCo2]])-(COUNTA(IMMeter[[#This Row],[OpCo2]])-ROW(IMMeter[[#This Row],[OpCo2]])+1))</f>
        <v/>
      </c>
      <c r="B233" s="5"/>
      <c r="C233" s="6"/>
      <c r="D233" s="6"/>
      <c r="E233" s="5"/>
      <c r="F233" s="23"/>
      <c r="G233" s="24"/>
      <c r="H233" s="5" t="str">
        <f>IF(AND(ISBLANK(IMMeter[[#This Row],[Beg Ser]]),ISBLANK(IMMeter[[#This Row],[End Ser]])),"",IMMeter[[#This Row],[End Ser]]-IMMeter[[#This Row],[Beg Ser]]+1)</f>
        <v/>
      </c>
      <c r="I233" s="7"/>
      <c r="J233" s="7"/>
      <c r="K233" s="22"/>
      <c r="L233" s="7"/>
      <c r="M233" s="11"/>
      <c r="N233" s="6"/>
      <c r="O233" s="5"/>
      <c r="P233" s="5"/>
      <c r="Q233" s="5" t="str">
        <f>IF(ISBLANK(IMMeter[[#This Row],[PO Number]]),"",IF(ISBLANK(IMMeter[[#This Row],[Recv Date]]),0,1))</f>
        <v/>
      </c>
      <c r="R233" s="54"/>
    </row>
    <row r="234" spans="1:18" ht="15.6" x14ac:dyDescent="0.3">
      <c r="A234" s="5" t="str">
        <f>IF(ISBLANK(IMMeter[[#This Row],[OpCo2]]),"",COUNTA(IMMeter[[#This Row],[OpCo2]])-(COUNTA(IMMeter[[#This Row],[OpCo2]])-ROW(IMMeter[[#This Row],[OpCo2]])+1))</f>
        <v/>
      </c>
      <c r="B234" s="5"/>
      <c r="C234" s="6"/>
      <c r="D234" s="6"/>
      <c r="E234" s="5"/>
      <c r="F234" s="23"/>
      <c r="G234" s="24"/>
      <c r="H234" s="5" t="str">
        <f>IF(AND(ISBLANK(IMMeter[[#This Row],[Beg Ser]]),ISBLANK(IMMeter[[#This Row],[End Ser]])),"",IMMeter[[#This Row],[End Ser]]-IMMeter[[#This Row],[Beg Ser]]+1)</f>
        <v/>
      </c>
      <c r="I234" s="7"/>
      <c r="J234" s="7"/>
      <c r="K234" s="22"/>
      <c r="L234" s="7"/>
      <c r="M234" s="11"/>
      <c r="N234" s="6"/>
      <c r="O234" s="5"/>
      <c r="P234" s="5"/>
      <c r="Q234" s="5" t="str">
        <f>IF(ISBLANK(IMMeter[[#This Row],[PO Number]]),"",IF(ISBLANK(IMMeter[[#This Row],[Recv Date]]),0,1))</f>
        <v/>
      </c>
      <c r="R234" s="54"/>
    </row>
    <row r="235" spans="1:18" ht="15.6" x14ac:dyDescent="0.3">
      <c r="A235" s="5" t="str">
        <f>IF(ISBLANK(IMMeter[[#This Row],[OpCo2]]),"",COUNTA(IMMeter[[#This Row],[OpCo2]])-(COUNTA(IMMeter[[#This Row],[OpCo2]])-ROW(IMMeter[[#This Row],[OpCo2]])+1))</f>
        <v/>
      </c>
      <c r="B235" s="5"/>
      <c r="C235" s="6"/>
      <c r="D235" s="6"/>
      <c r="E235" s="5"/>
      <c r="F235" s="23"/>
      <c r="G235" s="24"/>
      <c r="H235" s="5" t="str">
        <f>IF(AND(ISBLANK(IMMeter[[#This Row],[Beg Ser]]),ISBLANK(IMMeter[[#This Row],[End Ser]])),"",IMMeter[[#This Row],[End Ser]]-IMMeter[[#This Row],[Beg Ser]]+1)</f>
        <v/>
      </c>
      <c r="I235" s="7"/>
      <c r="J235" s="7"/>
      <c r="K235" s="22"/>
      <c r="L235" s="7"/>
      <c r="M235" s="11"/>
      <c r="N235" s="6"/>
      <c r="O235" s="5"/>
      <c r="P235" s="5"/>
      <c r="Q235" s="5" t="str">
        <f>IF(ISBLANK(IMMeter[[#This Row],[PO Number]]),"",IF(ISBLANK(IMMeter[[#This Row],[Recv Date]]),0,1))</f>
        <v/>
      </c>
      <c r="R235" s="54"/>
    </row>
    <row r="236" spans="1:18" ht="15.6" x14ac:dyDescent="0.3">
      <c r="A236" s="5" t="str">
        <f>IF(ISBLANK(IMMeter[[#This Row],[OpCo2]]),"",COUNTA(IMMeter[[#This Row],[OpCo2]])-(COUNTA(IMMeter[[#This Row],[OpCo2]])-ROW(IMMeter[[#This Row],[OpCo2]])+1))</f>
        <v/>
      </c>
      <c r="B236" s="5"/>
      <c r="C236" s="6"/>
      <c r="D236" s="6"/>
      <c r="E236" s="5"/>
      <c r="F236" s="23"/>
      <c r="G236" s="24"/>
      <c r="H236" s="5" t="str">
        <f>IF(AND(ISBLANK(IMMeter[[#This Row],[Beg Ser]]),ISBLANK(IMMeter[[#This Row],[End Ser]])),"",IMMeter[[#This Row],[End Ser]]-IMMeter[[#This Row],[Beg Ser]]+1)</f>
        <v/>
      </c>
      <c r="I236" s="7"/>
      <c r="J236" s="7"/>
      <c r="K236" s="22"/>
      <c r="L236" s="7"/>
      <c r="M236" s="11"/>
      <c r="N236" s="6"/>
      <c r="O236" s="5"/>
      <c r="P236" s="5"/>
      <c r="Q236" s="5" t="str">
        <f>IF(ISBLANK(IMMeter[[#This Row],[PO Number]]),"",IF(ISBLANK(IMMeter[[#This Row],[Recv Date]]),0,1))</f>
        <v/>
      </c>
      <c r="R236" s="54"/>
    </row>
    <row r="237" spans="1:18" ht="15.6" x14ac:dyDescent="0.3">
      <c r="A237" s="5" t="str">
        <f>IF(ISBLANK(IMMeter[[#This Row],[OpCo2]]),"",COUNTA(IMMeter[[#This Row],[OpCo2]])-(COUNTA(IMMeter[[#This Row],[OpCo2]])-ROW(IMMeter[[#This Row],[OpCo2]])+1))</f>
        <v/>
      </c>
      <c r="B237" s="5"/>
      <c r="C237" s="6"/>
      <c r="D237" s="6"/>
      <c r="E237" s="5"/>
      <c r="F237" s="23"/>
      <c r="G237" s="24"/>
      <c r="H237" s="5" t="str">
        <f>IF(AND(ISBLANK(IMMeter[[#This Row],[Beg Ser]]),ISBLANK(IMMeter[[#This Row],[End Ser]])),"",IMMeter[[#This Row],[End Ser]]-IMMeter[[#This Row],[Beg Ser]]+1)</f>
        <v/>
      </c>
      <c r="I237" s="7"/>
      <c r="J237" s="7"/>
      <c r="K237" s="22"/>
      <c r="L237" s="7"/>
      <c r="M237" s="11"/>
      <c r="N237" s="6"/>
      <c r="O237" s="5"/>
      <c r="P237" s="5"/>
      <c r="Q237" s="5" t="str">
        <f>IF(ISBLANK(IMMeter[[#This Row],[PO Number]]),"",IF(ISBLANK(IMMeter[[#This Row],[Recv Date]]),0,1))</f>
        <v/>
      </c>
      <c r="R237" s="54"/>
    </row>
    <row r="238" spans="1:18" ht="15.6" x14ac:dyDescent="0.3">
      <c r="A238" s="5" t="str">
        <f>IF(ISBLANK(IMMeter[[#This Row],[OpCo2]]),"",COUNTA(IMMeter[[#This Row],[OpCo2]])-(COUNTA(IMMeter[[#This Row],[OpCo2]])-ROW(IMMeter[[#This Row],[OpCo2]])+1))</f>
        <v/>
      </c>
      <c r="B238" s="5"/>
      <c r="C238" s="6"/>
      <c r="D238" s="6"/>
      <c r="E238" s="5"/>
      <c r="F238" s="23"/>
      <c r="G238" s="24"/>
      <c r="H238" s="5" t="str">
        <f>IF(AND(ISBLANK(IMMeter[[#This Row],[Beg Ser]]),ISBLANK(IMMeter[[#This Row],[End Ser]])),"",IMMeter[[#This Row],[End Ser]]-IMMeter[[#This Row],[Beg Ser]]+1)</f>
        <v/>
      </c>
      <c r="I238" s="7"/>
      <c r="J238" s="7"/>
      <c r="K238" s="22"/>
      <c r="L238" s="7"/>
      <c r="M238" s="11"/>
      <c r="N238" s="6"/>
      <c r="O238" s="5"/>
      <c r="P238" s="5"/>
      <c r="Q238" s="5" t="str">
        <f>IF(ISBLANK(IMMeter[[#This Row],[PO Number]]),"",IF(ISBLANK(IMMeter[[#This Row],[Recv Date]]),0,1))</f>
        <v/>
      </c>
      <c r="R238" s="54"/>
    </row>
    <row r="239" spans="1:18" ht="15.6" x14ac:dyDescent="0.3">
      <c r="A239" s="5" t="str">
        <f>IF(ISBLANK(IMMeter[[#This Row],[OpCo2]]),"",COUNTA(IMMeter[[#This Row],[OpCo2]])-(COUNTA(IMMeter[[#This Row],[OpCo2]])-ROW(IMMeter[[#This Row],[OpCo2]])+1))</f>
        <v/>
      </c>
      <c r="B239" s="5"/>
      <c r="C239" s="6"/>
      <c r="D239" s="6"/>
      <c r="E239" s="5"/>
      <c r="F239" s="23"/>
      <c r="G239" s="24"/>
      <c r="H239" s="5" t="str">
        <f>IF(AND(ISBLANK(IMMeter[[#This Row],[Beg Ser]]),ISBLANK(IMMeter[[#This Row],[End Ser]])),"",IMMeter[[#This Row],[End Ser]]-IMMeter[[#This Row],[Beg Ser]]+1)</f>
        <v/>
      </c>
      <c r="I239" s="7"/>
      <c r="J239" s="7"/>
      <c r="K239" s="22"/>
      <c r="L239" s="7"/>
      <c r="M239" s="11"/>
      <c r="N239" s="6"/>
      <c r="O239" s="5"/>
      <c r="P239" s="5"/>
      <c r="Q239" s="5" t="str">
        <f>IF(ISBLANK(IMMeter[[#This Row],[PO Number]]),"",IF(ISBLANK(IMMeter[[#This Row],[Recv Date]]),0,1))</f>
        <v/>
      </c>
      <c r="R239" s="54"/>
    </row>
    <row r="240" spans="1:18" ht="15.6" x14ac:dyDescent="0.3">
      <c r="A240" s="5" t="str">
        <f>IF(ISBLANK(IMMeter[[#This Row],[OpCo2]]),"",COUNTA(IMMeter[[#This Row],[OpCo2]])-(COUNTA(IMMeter[[#This Row],[OpCo2]])-ROW(IMMeter[[#This Row],[OpCo2]])+1))</f>
        <v/>
      </c>
      <c r="B240" s="5"/>
      <c r="C240" s="6"/>
      <c r="D240" s="6"/>
      <c r="E240" s="5"/>
      <c r="F240" s="23"/>
      <c r="G240" s="24"/>
      <c r="H240" s="5" t="str">
        <f>IF(AND(ISBLANK(IMMeter[[#This Row],[Beg Ser]]),ISBLANK(IMMeter[[#This Row],[End Ser]])),"",IMMeter[[#This Row],[End Ser]]-IMMeter[[#This Row],[Beg Ser]]+1)</f>
        <v/>
      </c>
      <c r="I240" s="7"/>
      <c r="J240" s="7"/>
      <c r="K240" s="22"/>
      <c r="L240" s="7"/>
      <c r="M240" s="11"/>
      <c r="N240" s="6"/>
      <c r="O240" s="5"/>
      <c r="P240" s="5"/>
      <c r="Q240" s="5" t="str">
        <f>IF(ISBLANK(IMMeter[[#This Row],[PO Number]]),"",IF(ISBLANK(IMMeter[[#This Row],[Recv Date]]),0,1))</f>
        <v/>
      </c>
      <c r="R240" s="54"/>
    </row>
    <row r="241" spans="1:18" ht="15.6" x14ac:dyDescent="0.3">
      <c r="A241" s="5"/>
      <c r="B241" s="5"/>
      <c r="C241" s="6"/>
      <c r="D241" s="6"/>
      <c r="E241" s="5"/>
      <c r="F241" s="5"/>
      <c r="G241" s="5"/>
      <c r="H241" s="5" t="str">
        <f>IF(AND(ISBLANK(IMMeter[[#This Row],[Beg Ser]]),ISBLANK(IMMeter[[#This Row],[End Ser]])),"",IMMeter[[#This Row],[End Ser]]-IMMeter[[#This Row],[Beg Ser]]+1)</f>
        <v/>
      </c>
      <c r="I241" s="7"/>
      <c r="J241" s="7"/>
      <c r="K241" s="29"/>
      <c r="L241" s="7"/>
      <c r="M241" s="11"/>
      <c r="N241" s="6"/>
      <c r="O241" s="5"/>
      <c r="P241" s="5"/>
      <c r="Q241" s="5"/>
      <c r="R241" s="54"/>
    </row>
    <row r="242" spans="1:18" ht="15.6" x14ac:dyDescent="0.3">
      <c r="A242" s="5"/>
      <c r="B242" s="5"/>
      <c r="C242" s="6"/>
      <c r="D242" s="6"/>
      <c r="E242" s="5"/>
      <c r="F242" s="5"/>
      <c r="G242" s="5"/>
      <c r="H242" s="5" t="str">
        <f>IF(AND(ISBLANK(IMMeter[[#This Row],[Beg Ser]]),ISBLANK(IMMeter[[#This Row],[End Ser]])),"",IMMeter[[#This Row],[End Ser]]-IMMeter[[#This Row],[Beg Ser]]+1)</f>
        <v/>
      </c>
      <c r="I242" s="7"/>
      <c r="J242" s="7"/>
      <c r="K242" s="29"/>
      <c r="L242" s="7"/>
      <c r="M242" s="11"/>
      <c r="N242" s="6"/>
      <c r="O242" s="5"/>
      <c r="P242" s="5"/>
      <c r="Q242" s="5"/>
      <c r="R242" s="54"/>
    </row>
  </sheetData>
  <phoneticPr fontId="6" type="noConversion"/>
  <conditionalFormatting sqref="B1:B1048576 P1:P1048576">
    <cfRule type="expression" dxfId="13" priority="2">
      <formula>$B1="IM"</formula>
    </cfRule>
    <cfRule type="expression" dxfId="12" priority="3">
      <formula>$B1="OH"</formula>
    </cfRule>
  </conditionalFormatting>
  <conditionalFormatting sqref="F15">
    <cfRule type="duplicateValues" dxfId="11" priority="4"/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0AC9950-AB74-44C1-91CD-6A64C07516E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Q1:Q1048576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7903E-166D-4D72-92F7-B815A1B607BD}">
  <sheetPr codeName="Sheet4">
    <tabColor rgb="FFFF0000"/>
    <pageSetUpPr autoPageBreaks="0"/>
  </sheetPr>
  <dimension ref="A1:U126"/>
  <sheetViews>
    <sheetView workbookViewId="0">
      <selection activeCell="J7" sqref="J7"/>
    </sheetView>
  </sheetViews>
  <sheetFormatPr defaultRowHeight="14.4" x14ac:dyDescent="0.3"/>
  <cols>
    <col min="1" max="1" width="5.6640625" style="1" customWidth="1"/>
    <col min="2" max="2" width="9.109375" style="1"/>
    <col min="3" max="3" width="9.33203125" style="2" customWidth="1"/>
    <col min="4" max="4" width="7.6640625" style="2" customWidth="1"/>
    <col min="5" max="5" width="12.33203125" style="1" customWidth="1"/>
    <col min="6" max="7" width="16.6640625" style="1" customWidth="1"/>
    <col min="8" max="8" width="10.6640625" style="1" customWidth="1"/>
    <col min="9" max="10" width="12.6640625" style="14" customWidth="1"/>
    <col min="11" max="11" width="14.5546875" style="15" customWidth="1"/>
    <col min="12" max="12" width="12.88671875" style="14" customWidth="1"/>
    <col min="13" max="13" width="12.6640625" style="12" customWidth="1"/>
    <col min="14" max="14" width="14.6640625" style="2" customWidth="1"/>
    <col min="15" max="15" width="10.6640625" style="1" customWidth="1"/>
    <col min="16" max="16" width="12.5546875" style="15" customWidth="1"/>
  </cols>
  <sheetData>
    <row r="1" spans="1:21" ht="18" x14ac:dyDescent="0.3">
      <c r="A1" s="8" t="s">
        <v>174</v>
      </c>
      <c r="B1" s="8" t="s">
        <v>173</v>
      </c>
      <c r="C1" s="9" t="s">
        <v>15</v>
      </c>
      <c r="D1" s="9" t="s">
        <v>14</v>
      </c>
      <c r="E1" s="8" t="s">
        <v>13</v>
      </c>
      <c r="F1" s="16" t="s">
        <v>12</v>
      </c>
      <c r="G1" s="17" t="s">
        <v>11</v>
      </c>
      <c r="H1" s="8" t="s">
        <v>10</v>
      </c>
      <c r="I1" s="13" t="s">
        <v>9</v>
      </c>
      <c r="J1" s="13" t="s">
        <v>214</v>
      </c>
      <c r="K1" s="8" t="s">
        <v>8</v>
      </c>
      <c r="L1" s="13" t="s">
        <v>7</v>
      </c>
      <c r="M1" s="10" t="s">
        <v>6</v>
      </c>
      <c r="N1" s="9" t="s">
        <v>5</v>
      </c>
      <c r="O1" s="8" t="s">
        <v>4</v>
      </c>
      <c r="P1" s="8" t="s">
        <v>3</v>
      </c>
      <c r="Q1" s="8" t="s">
        <v>213</v>
      </c>
      <c r="T1" s="3"/>
      <c r="U1" s="3"/>
    </row>
    <row r="2" spans="1:21" ht="15.6" x14ac:dyDescent="0.3">
      <c r="A2" s="5">
        <f>IF(ISBLANK(OHTrans[[#This Row],[OpCo2]]),"",COUNTA(OHTrans[[#This Row],[OpCo2]])-(COUNTA(OHTrans[[#This Row],[OpCo2]])-ROW(OHTrans[[#This Row],[OpCo2]])+1))</f>
        <v>1</v>
      </c>
      <c r="B2" s="5" t="s">
        <v>17</v>
      </c>
      <c r="C2" s="6" t="s">
        <v>2</v>
      </c>
      <c r="D2" s="6" t="s">
        <v>21</v>
      </c>
      <c r="E2" s="5" t="s">
        <v>60</v>
      </c>
      <c r="F2" s="18" t="s">
        <v>64</v>
      </c>
      <c r="G2" s="19" t="s">
        <v>64</v>
      </c>
      <c r="H2" s="5">
        <v>6</v>
      </c>
      <c r="I2" s="7">
        <v>44606</v>
      </c>
      <c r="J2" s="7"/>
      <c r="K2" s="22">
        <v>80481489</v>
      </c>
      <c r="L2" s="7">
        <v>45069</v>
      </c>
      <c r="M2" s="11">
        <v>1495</v>
      </c>
      <c r="N2" s="6" t="s">
        <v>59</v>
      </c>
      <c r="O2" s="5">
        <v>71056315</v>
      </c>
      <c r="P2" s="29" t="s">
        <v>60</v>
      </c>
      <c r="Q2" s="4">
        <f>IF(ISBLANK(OHTrans[[#This Row],[PO Number]]),"",IF(ISBLANK(OHTrans[[#This Row],[Recv Date]]),0,1))</f>
        <v>1</v>
      </c>
      <c r="T2" s="3"/>
      <c r="U2" s="3"/>
    </row>
    <row r="3" spans="1:21" ht="15.6" x14ac:dyDescent="0.3">
      <c r="A3" s="5">
        <f>IF(ISBLANK(OHTrans[[#This Row],[OpCo2]]),"",COUNTA(OHTrans[[#This Row],[OpCo2]])-(COUNTA(OHTrans[[#This Row],[OpCo2]])-ROW(OHTrans[[#This Row],[OpCo2]])+1))</f>
        <v>2</v>
      </c>
      <c r="B3" s="5" t="s">
        <v>17</v>
      </c>
      <c r="C3" s="6" t="s">
        <v>2</v>
      </c>
      <c r="D3" s="6" t="s">
        <v>21</v>
      </c>
      <c r="E3" s="5" t="s">
        <v>60</v>
      </c>
      <c r="F3" s="18" t="s">
        <v>64</v>
      </c>
      <c r="G3" s="19" t="s">
        <v>64</v>
      </c>
      <c r="H3" s="5">
        <v>6</v>
      </c>
      <c r="I3" s="7">
        <v>44606</v>
      </c>
      <c r="J3" s="7"/>
      <c r="K3" s="22">
        <v>80481489</v>
      </c>
      <c r="L3" s="7">
        <v>45083</v>
      </c>
      <c r="M3" s="11">
        <v>1495</v>
      </c>
      <c r="N3" s="6" t="s">
        <v>59</v>
      </c>
      <c r="O3" s="5">
        <v>71056315</v>
      </c>
      <c r="P3" s="29" t="s">
        <v>60</v>
      </c>
      <c r="Q3" s="4">
        <f>IF(ISBLANK(OHTrans[[#This Row],[PO Number]]),"",IF(ISBLANK(OHTrans[[#This Row],[Recv Date]]),0,1))</f>
        <v>1</v>
      </c>
      <c r="T3" s="3"/>
      <c r="U3" s="3"/>
    </row>
    <row r="4" spans="1:21" ht="15.6" x14ac:dyDescent="0.3">
      <c r="A4" s="5">
        <f>IF(ISBLANK(OHTrans[[#This Row],[OpCo2]]),"",COUNTA(OHTrans[[#This Row],[OpCo2]])-(COUNTA(OHTrans[[#This Row],[OpCo2]])-ROW(OHTrans[[#This Row],[OpCo2]])+1))</f>
        <v>3</v>
      </c>
      <c r="B4" s="5" t="s">
        <v>17</v>
      </c>
      <c r="C4" s="6" t="s">
        <v>2</v>
      </c>
      <c r="D4" s="6" t="s">
        <v>21</v>
      </c>
      <c r="E4" s="5" t="s">
        <v>60</v>
      </c>
      <c r="F4" s="18">
        <v>12309818</v>
      </c>
      <c r="G4" s="19">
        <v>12309819</v>
      </c>
      <c r="H4" s="5">
        <v>2</v>
      </c>
      <c r="I4" s="7">
        <v>44606</v>
      </c>
      <c r="J4" s="7"/>
      <c r="K4" s="22">
        <v>80481489</v>
      </c>
      <c r="L4" s="7">
        <v>45085</v>
      </c>
      <c r="M4" s="11">
        <v>1495</v>
      </c>
      <c r="N4" s="6" t="s">
        <v>59</v>
      </c>
      <c r="O4" s="5">
        <v>71056315</v>
      </c>
      <c r="P4" s="29" t="s">
        <v>60</v>
      </c>
      <c r="Q4" s="4">
        <f>IF(ISBLANK(OHTrans[[#This Row],[PO Number]]),"",IF(ISBLANK(OHTrans[[#This Row],[Recv Date]]),0,1))</f>
        <v>1</v>
      </c>
      <c r="T4" s="3"/>
      <c r="U4" s="3"/>
    </row>
    <row r="5" spans="1:21" ht="15.6" x14ac:dyDescent="0.3">
      <c r="A5" s="5">
        <f>IF(ISBLANK(OHTrans[[#This Row],[OpCo2]]),"",COUNTA(OHTrans[[#This Row],[OpCo2]])-(COUNTA(OHTrans[[#This Row],[OpCo2]])-ROW(OHTrans[[#This Row],[OpCo2]])+1))</f>
        <v>4</v>
      </c>
      <c r="B5" s="5" t="s">
        <v>17</v>
      </c>
      <c r="C5" s="6" t="s">
        <v>2</v>
      </c>
      <c r="D5" s="6" t="s">
        <v>21</v>
      </c>
      <c r="E5" s="5" t="s">
        <v>67</v>
      </c>
      <c r="F5" s="18">
        <v>12312625</v>
      </c>
      <c r="G5" s="19" t="s">
        <v>64</v>
      </c>
      <c r="H5" s="5">
        <v>1</v>
      </c>
      <c r="I5" s="7">
        <v>44501</v>
      </c>
      <c r="J5" s="7"/>
      <c r="K5" s="22">
        <v>80429829</v>
      </c>
      <c r="L5" s="7">
        <v>45085</v>
      </c>
      <c r="M5" s="11">
        <v>1495</v>
      </c>
      <c r="N5" s="6" t="s">
        <v>37</v>
      </c>
      <c r="O5" s="5">
        <v>71054340</v>
      </c>
      <c r="P5" s="29" t="s">
        <v>67</v>
      </c>
      <c r="Q5" s="4">
        <f>IF(ISBLANK(OHTrans[[#This Row],[PO Number]]),"",IF(ISBLANK(OHTrans[[#This Row],[Recv Date]]),0,1))</f>
        <v>1</v>
      </c>
      <c r="T5" s="3"/>
      <c r="U5" s="3"/>
    </row>
    <row r="6" spans="1:21" ht="15.6" x14ac:dyDescent="0.3">
      <c r="A6" s="5">
        <f>IF(ISBLANK(OHTrans[[#This Row],[OpCo2]]),"",COUNTA(OHTrans[[#This Row],[OpCo2]])-(COUNTA(OHTrans[[#This Row],[OpCo2]])-ROW(OHTrans[[#This Row],[OpCo2]])+1))</f>
        <v>5</v>
      </c>
      <c r="B6" s="5" t="s">
        <v>17</v>
      </c>
      <c r="C6" s="6" t="s">
        <v>2</v>
      </c>
      <c r="D6" s="6" t="s">
        <v>24</v>
      </c>
      <c r="E6" s="5" t="s">
        <v>55</v>
      </c>
      <c r="F6" s="18" t="s">
        <v>82</v>
      </c>
      <c r="G6" s="19" t="s">
        <v>81</v>
      </c>
      <c r="H6" s="5">
        <v>180</v>
      </c>
      <c r="I6" s="7">
        <v>45005</v>
      </c>
      <c r="J6" s="7"/>
      <c r="K6" s="22">
        <v>81151560</v>
      </c>
      <c r="L6" s="7">
        <v>45096</v>
      </c>
      <c r="M6" s="11">
        <v>571.5</v>
      </c>
      <c r="N6" s="6" t="s">
        <v>54</v>
      </c>
      <c r="O6" s="5">
        <v>78105840</v>
      </c>
      <c r="P6" s="29" t="s">
        <v>56</v>
      </c>
      <c r="Q6" s="4">
        <f>IF(ISBLANK(OHTrans[[#This Row],[PO Number]]),"",IF(ISBLANK(OHTrans[[#This Row],[Recv Date]]),0,1))</f>
        <v>1</v>
      </c>
      <c r="T6" s="3"/>
      <c r="U6" s="3"/>
    </row>
    <row r="7" spans="1:21" ht="15.6" x14ac:dyDescent="0.3">
      <c r="A7" s="5">
        <f>IF(ISBLANK(OHTrans[[#This Row],[OpCo2]]),"",COUNTA(OHTrans[[#This Row],[OpCo2]])-(COUNTA(OHTrans[[#This Row],[OpCo2]])-ROW(OHTrans[[#This Row],[OpCo2]])+1))</f>
        <v>6</v>
      </c>
      <c r="B7" s="5" t="s">
        <v>17</v>
      </c>
      <c r="C7" s="6" t="s">
        <v>2</v>
      </c>
      <c r="D7" s="6" t="s">
        <v>22</v>
      </c>
      <c r="E7" s="5" t="s">
        <v>29</v>
      </c>
      <c r="F7" s="18">
        <v>3794756</v>
      </c>
      <c r="G7" s="19">
        <v>3794935</v>
      </c>
      <c r="H7" s="5">
        <v>180</v>
      </c>
      <c r="I7" s="7">
        <v>44917</v>
      </c>
      <c r="J7" s="7"/>
      <c r="K7" s="22">
        <v>81111044</v>
      </c>
      <c r="L7" s="7">
        <v>45096</v>
      </c>
      <c r="M7" s="11">
        <v>184.04</v>
      </c>
      <c r="N7" s="6" t="s">
        <v>68</v>
      </c>
      <c r="O7" s="5">
        <v>78100140</v>
      </c>
      <c r="P7" s="29" t="s">
        <v>28</v>
      </c>
      <c r="Q7" s="4">
        <f>IF(ISBLANK(OHTrans[[#This Row],[PO Number]]),"",IF(ISBLANK(OHTrans[[#This Row],[Recv Date]]),0,1))</f>
        <v>1</v>
      </c>
    </row>
    <row r="8" spans="1:21" ht="15.6" x14ac:dyDescent="0.3">
      <c r="A8" s="5">
        <f>IF(ISBLANK(OHTrans[[#This Row],[OpCo2]]),"",COUNTA(OHTrans[[#This Row],[OpCo2]])-(COUNTA(OHTrans[[#This Row],[OpCo2]])-ROW(OHTrans[[#This Row],[OpCo2]])+1))</f>
        <v>7</v>
      </c>
      <c r="B8" s="5" t="s">
        <v>17</v>
      </c>
      <c r="C8" s="6" t="s">
        <v>2</v>
      </c>
      <c r="D8" s="6" t="s">
        <v>21</v>
      </c>
      <c r="E8" s="5" t="s">
        <v>78</v>
      </c>
      <c r="F8" s="18" t="s">
        <v>64</v>
      </c>
      <c r="G8" s="19" t="s">
        <v>64</v>
      </c>
      <c r="H8" s="5">
        <v>5</v>
      </c>
      <c r="I8" s="7">
        <v>44663</v>
      </c>
      <c r="J8" s="7"/>
      <c r="K8" s="22">
        <v>80610689</v>
      </c>
      <c r="L8" s="7">
        <v>45160</v>
      </c>
      <c r="M8" s="11">
        <v>2440.34</v>
      </c>
      <c r="N8" s="6" t="s">
        <v>79</v>
      </c>
      <c r="O8" s="5">
        <v>71056316</v>
      </c>
      <c r="P8" s="29" t="s">
        <v>78</v>
      </c>
      <c r="Q8" s="4">
        <f>IF(ISBLANK(OHTrans[[#This Row],[PO Number]]),"",IF(ISBLANK(OHTrans[[#This Row],[Recv Date]]),0,1))</f>
        <v>1</v>
      </c>
    </row>
    <row r="9" spans="1:21" ht="15.6" x14ac:dyDescent="0.3">
      <c r="A9" s="5">
        <f>IF(ISBLANK(OHTrans[[#This Row],[OpCo2]]),"",COUNTA(OHTrans[[#This Row],[OpCo2]])-(COUNTA(OHTrans[[#This Row],[OpCo2]])-ROW(OHTrans[[#This Row],[OpCo2]])+1))</f>
        <v>8</v>
      </c>
      <c r="B9" s="5" t="s">
        <v>17</v>
      </c>
      <c r="C9" s="6" t="s">
        <v>2</v>
      </c>
      <c r="D9" s="6" t="s">
        <v>1</v>
      </c>
      <c r="E9" s="5" t="s">
        <v>34</v>
      </c>
      <c r="F9" s="18">
        <v>56108737</v>
      </c>
      <c r="G9" s="19">
        <v>56108916</v>
      </c>
      <c r="H9" s="4">
        <v>180</v>
      </c>
      <c r="I9" s="7">
        <v>44831</v>
      </c>
      <c r="J9" s="7"/>
      <c r="K9" s="22">
        <v>81069359</v>
      </c>
      <c r="L9" s="7">
        <v>45174</v>
      </c>
      <c r="M9" s="11">
        <v>59.69</v>
      </c>
      <c r="N9" s="6" t="s">
        <v>33</v>
      </c>
      <c r="O9" s="5">
        <v>50070360</v>
      </c>
      <c r="P9" s="29" t="s">
        <v>34</v>
      </c>
      <c r="Q9" s="4">
        <f>IF(ISBLANK(OHTrans[[#This Row],[PO Number]]),"",IF(ISBLANK(OHTrans[[#This Row],[Recv Date]]),0,1))</f>
        <v>1</v>
      </c>
    </row>
    <row r="10" spans="1:21" ht="15.6" x14ac:dyDescent="0.3">
      <c r="A10" s="5">
        <f>IF(ISBLANK(OHTrans[[#This Row],[OpCo2]]),"",COUNTA(OHTrans[[#This Row],[OpCo2]])-(COUNTA(OHTrans[[#This Row],[OpCo2]])-ROW(OHTrans[[#This Row],[OpCo2]])+1))</f>
        <v>9</v>
      </c>
      <c r="B10" s="5" t="s">
        <v>17</v>
      </c>
      <c r="C10" s="6" t="s">
        <v>2</v>
      </c>
      <c r="D10" s="6" t="s">
        <v>1</v>
      </c>
      <c r="E10" s="5" t="s">
        <v>27</v>
      </c>
      <c r="F10" s="18">
        <v>56106380</v>
      </c>
      <c r="G10" s="19">
        <v>56106559</v>
      </c>
      <c r="H10" s="4">
        <v>180</v>
      </c>
      <c r="I10" s="7">
        <v>44831</v>
      </c>
      <c r="J10" s="7"/>
      <c r="K10" s="22">
        <v>81069359</v>
      </c>
      <c r="L10" s="7">
        <v>45174</v>
      </c>
      <c r="M10" s="11">
        <v>59.69</v>
      </c>
      <c r="N10" s="6" t="s">
        <v>26</v>
      </c>
      <c r="O10" s="5">
        <v>71057111</v>
      </c>
      <c r="P10" s="29" t="s">
        <v>27</v>
      </c>
      <c r="Q10" s="4">
        <f>IF(ISBLANK(OHTrans[[#This Row],[PO Number]]),"",IF(ISBLANK(OHTrans[[#This Row],[Recv Date]]),0,1))</f>
        <v>1</v>
      </c>
    </row>
    <row r="11" spans="1:21" ht="15.6" x14ac:dyDescent="0.3">
      <c r="A11" s="5">
        <f>IF(ISBLANK(OHTrans[[#This Row],[OpCo2]]),"",COUNTA(OHTrans[[#This Row],[OpCo2]])-(COUNTA(OHTrans[[#This Row],[OpCo2]])-ROW(OHTrans[[#This Row],[OpCo2]])+1))</f>
        <v>10</v>
      </c>
      <c r="B11" s="5" t="s">
        <v>17</v>
      </c>
      <c r="C11" s="6" t="s">
        <v>2</v>
      </c>
      <c r="D11" s="6" t="s">
        <v>21</v>
      </c>
      <c r="E11" s="5" t="s">
        <v>78</v>
      </c>
      <c r="F11" s="18" t="s">
        <v>64</v>
      </c>
      <c r="G11" s="19" t="s">
        <v>64</v>
      </c>
      <c r="H11" s="4">
        <v>2</v>
      </c>
      <c r="I11" s="7">
        <v>44663</v>
      </c>
      <c r="J11" s="7"/>
      <c r="K11" s="22">
        <v>80610689</v>
      </c>
      <c r="L11" s="7">
        <v>45176</v>
      </c>
      <c r="M11" s="11">
        <v>2440.34</v>
      </c>
      <c r="N11" s="6" t="s">
        <v>79</v>
      </c>
      <c r="O11" s="5">
        <v>71056316</v>
      </c>
      <c r="P11" s="29" t="s">
        <v>78</v>
      </c>
      <c r="Q11" s="4">
        <f>IF(ISBLANK(OHTrans[[#This Row],[PO Number]]),"",IF(ISBLANK(OHTrans[[#This Row],[Recv Date]]),0,1))</f>
        <v>1</v>
      </c>
    </row>
    <row r="12" spans="1:21" ht="15.6" x14ac:dyDescent="0.3">
      <c r="A12" s="5">
        <f>IF(ISBLANK(OHTrans[[#This Row],[OpCo2]]),"",COUNTA(OHTrans[[#This Row],[OpCo2]])-(COUNTA(OHTrans[[#This Row],[OpCo2]])-ROW(OHTrans[[#This Row],[OpCo2]])+1))</f>
        <v>11</v>
      </c>
      <c r="B12" s="5" t="s">
        <v>17</v>
      </c>
      <c r="C12" s="6" t="s">
        <v>2</v>
      </c>
      <c r="D12" s="6" t="s">
        <v>22</v>
      </c>
      <c r="E12" s="5" t="s">
        <v>40</v>
      </c>
      <c r="F12" s="18">
        <v>3799865</v>
      </c>
      <c r="G12" s="19">
        <v>3800044</v>
      </c>
      <c r="H12" s="5">
        <v>180</v>
      </c>
      <c r="I12" s="7">
        <v>44897</v>
      </c>
      <c r="J12" s="7"/>
      <c r="K12" s="22">
        <v>81111044</v>
      </c>
      <c r="L12" s="7">
        <v>45181</v>
      </c>
      <c r="M12" s="11">
        <v>153.44999999999999</v>
      </c>
      <c r="N12" s="6" t="s">
        <v>39</v>
      </c>
      <c r="O12" s="5">
        <v>50056327</v>
      </c>
      <c r="P12" s="29" t="s">
        <v>40</v>
      </c>
      <c r="Q12" s="4">
        <f>IF(ISBLANK(OHTrans[[#This Row],[PO Number]]),"",IF(ISBLANK(OHTrans[[#This Row],[Recv Date]]),0,1))</f>
        <v>1</v>
      </c>
    </row>
    <row r="13" spans="1:21" ht="15.6" x14ac:dyDescent="0.3">
      <c r="A13" s="5">
        <f>IF(ISBLANK(OHTrans[[#This Row],[OpCo2]]),"",COUNTA(OHTrans[[#This Row],[OpCo2]])-(COUNTA(OHTrans[[#This Row],[OpCo2]])-ROW(OHTrans[[#This Row],[OpCo2]])+1))</f>
        <v>12</v>
      </c>
      <c r="B13" s="5" t="s">
        <v>17</v>
      </c>
      <c r="C13" s="6" t="s">
        <v>2</v>
      </c>
      <c r="D13" s="6" t="s">
        <v>22</v>
      </c>
      <c r="E13" s="5" t="s">
        <v>16</v>
      </c>
      <c r="F13" s="18">
        <v>3795126</v>
      </c>
      <c r="G13" s="19">
        <v>3795305</v>
      </c>
      <c r="H13" s="5">
        <v>180</v>
      </c>
      <c r="I13" s="7">
        <v>44897</v>
      </c>
      <c r="J13" s="7"/>
      <c r="K13" s="22">
        <v>81111044</v>
      </c>
      <c r="L13" s="7">
        <v>45188</v>
      </c>
      <c r="M13" s="11">
        <v>164.32</v>
      </c>
      <c r="N13" s="6" t="s">
        <v>19</v>
      </c>
      <c r="O13" s="5">
        <v>78100875</v>
      </c>
      <c r="P13" s="29" t="s">
        <v>36</v>
      </c>
      <c r="Q13" s="4">
        <f>IF(ISBLANK(OHTrans[[#This Row],[PO Number]]),"",IF(ISBLANK(OHTrans[[#This Row],[Recv Date]]),0,1))</f>
        <v>1</v>
      </c>
    </row>
    <row r="14" spans="1:21" ht="15.6" x14ac:dyDescent="0.3">
      <c r="A14" s="5">
        <f>IF(ISBLANK(OHTrans[[#This Row],[OpCo2]]),"",COUNTA(OHTrans[[#This Row],[OpCo2]])-(COUNTA(OHTrans[[#This Row],[OpCo2]])-ROW(OHTrans[[#This Row],[OpCo2]])+1))</f>
        <v>13</v>
      </c>
      <c r="B14" s="5" t="s">
        <v>17</v>
      </c>
      <c r="C14" s="6" t="s">
        <v>2</v>
      </c>
      <c r="D14" s="6" t="s">
        <v>24</v>
      </c>
      <c r="E14" s="5" t="s">
        <v>55</v>
      </c>
      <c r="F14" s="18" t="s">
        <v>93</v>
      </c>
      <c r="G14" s="19" t="s">
        <v>94</v>
      </c>
      <c r="H14" s="5">
        <v>180</v>
      </c>
      <c r="I14" s="7">
        <v>45091</v>
      </c>
      <c r="J14" s="7"/>
      <c r="K14" s="22">
        <v>81189700</v>
      </c>
      <c r="L14" s="7">
        <v>45195</v>
      </c>
      <c r="M14" s="11">
        <v>571.5</v>
      </c>
      <c r="N14" s="6" t="s">
        <v>54</v>
      </c>
      <c r="O14" s="5">
        <v>78105840</v>
      </c>
      <c r="P14" s="29" t="s">
        <v>56</v>
      </c>
      <c r="Q14" s="4">
        <f>IF(ISBLANK(OHTrans[[#This Row],[PO Number]]),"",IF(ISBLANK(OHTrans[[#This Row],[Recv Date]]),0,1))</f>
        <v>1</v>
      </c>
    </row>
    <row r="15" spans="1:21" ht="15.6" x14ac:dyDescent="0.3">
      <c r="A15" s="5">
        <f>IF(ISBLANK(OHTrans[[#This Row],[OpCo2]]),"",COUNTA(OHTrans[[#This Row],[OpCo2]])-(COUNTA(OHTrans[[#This Row],[OpCo2]])-ROW(OHTrans[[#This Row],[OpCo2]])+1))</f>
        <v>14</v>
      </c>
      <c r="B15" s="5" t="s">
        <v>17</v>
      </c>
      <c r="C15" s="6" t="s">
        <v>2</v>
      </c>
      <c r="D15" s="6" t="s">
        <v>1</v>
      </c>
      <c r="E15" s="5" t="s">
        <v>47</v>
      </c>
      <c r="F15" s="18">
        <v>56124701</v>
      </c>
      <c r="G15" s="19">
        <v>56124790</v>
      </c>
      <c r="H15" s="5">
        <v>90</v>
      </c>
      <c r="I15" s="7">
        <v>44729</v>
      </c>
      <c r="J15" s="7"/>
      <c r="K15" s="22">
        <v>80887491</v>
      </c>
      <c r="L15" s="7">
        <v>45195</v>
      </c>
      <c r="M15" s="11">
        <v>61.85</v>
      </c>
      <c r="N15" s="6" t="s">
        <v>46</v>
      </c>
      <c r="O15" s="5">
        <v>71059877</v>
      </c>
      <c r="P15" s="29" t="s">
        <v>47</v>
      </c>
      <c r="Q15" s="4">
        <f>IF(ISBLANK(OHTrans[[#This Row],[PO Number]]),"",IF(ISBLANK(OHTrans[[#This Row],[Recv Date]]),0,1))</f>
        <v>1</v>
      </c>
    </row>
    <row r="16" spans="1:21" ht="15.6" x14ac:dyDescent="0.3">
      <c r="A16" s="5">
        <f>IF(ISBLANK(OHTrans[[#This Row],[OpCo2]]),"",COUNTA(OHTrans[[#This Row],[OpCo2]])-(COUNTA(OHTrans[[#This Row],[OpCo2]])-ROW(OHTrans[[#This Row],[OpCo2]])+1))</f>
        <v>15</v>
      </c>
      <c r="B16" s="5" t="s">
        <v>17</v>
      </c>
      <c r="C16" s="6" t="s">
        <v>2</v>
      </c>
      <c r="D16" s="6" t="s">
        <v>21</v>
      </c>
      <c r="E16" s="5" t="s">
        <v>60</v>
      </c>
      <c r="F16" s="18" t="s">
        <v>64</v>
      </c>
      <c r="G16" s="19" t="s">
        <v>64</v>
      </c>
      <c r="H16" s="5">
        <v>12</v>
      </c>
      <c r="I16" s="7">
        <v>44663</v>
      </c>
      <c r="J16" s="7"/>
      <c r="K16" s="22">
        <v>80610689</v>
      </c>
      <c r="L16" s="7">
        <v>45201</v>
      </c>
      <c r="M16" s="11">
        <v>2440.34</v>
      </c>
      <c r="N16" s="6" t="s">
        <v>59</v>
      </c>
      <c r="O16" s="5">
        <v>71056315</v>
      </c>
      <c r="P16" s="29" t="s">
        <v>60</v>
      </c>
      <c r="Q16" s="4">
        <f>IF(ISBLANK(OHTrans[[#This Row],[PO Number]]),"",IF(ISBLANK(OHTrans[[#This Row],[Recv Date]]),0,1))</f>
        <v>1</v>
      </c>
    </row>
    <row r="17" spans="1:17" ht="15.6" x14ac:dyDescent="0.3">
      <c r="A17" s="5">
        <f>IF(ISBLANK(OHTrans[[#This Row],[OpCo2]]),"",COUNTA(OHTrans[[#This Row],[OpCo2]])-(COUNTA(OHTrans[[#This Row],[OpCo2]])-ROW(OHTrans[[#This Row],[OpCo2]])+1))</f>
        <v>16</v>
      </c>
      <c r="B17" s="5" t="s">
        <v>17</v>
      </c>
      <c r="C17" s="6" t="s">
        <v>2</v>
      </c>
      <c r="D17" s="6" t="s">
        <v>22</v>
      </c>
      <c r="E17" s="5" t="s">
        <v>45</v>
      </c>
      <c r="F17" s="18">
        <v>3800045</v>
      </c>
      <c r="G17" s="19">
        <v>3800224</v>
      </c>
      <c r="H17" s="5">
        <v>180</v>
      </c>
      <c r="I17" s="7">
        <v>44917</v>
      </c>
      <c r="J17" s="7"/>
      <c r="K17" s="22">
        <v>81111044</v>
      </c>
      <c r="L17" s="7">
        <v>45208</v>
      </c>
      <c r="M17" s="11">
        <v>201.68</v>
      </c>
      <c r="N17" s="6" t="s">
        <v>44</v>
      </c>
      <c r="O17" s="5">
        <v>78103170</v>
      </c>
      <c r="P17" s="29" t="s">
        <v>35</v>
      </c>
      <c r="Q17" s="4">
        <f>IF(ISBLANK(OHTrans[[#This Row],[PO Number]]),"",IF(ISBLANK(OHTrans[[#This Row],[Recv Date]]),0,1))</f>
        <v>1</v>
      </c>
    </row>
    <row r="18" spans="1:17" ht="15.6" x14ac:dyDescent="0.3">
      <c r="A18" s="5">
        <f>IF(ISBLANK(OHTrans[[#This Row],[OpCo2]]),"",COUNTA(OHTrans[[#This Row],[OpCo2]])-(COUNTA(OHTrans[[#This Row],[OpCo2]])-ROW(OHTrans[[#This Row],[OpCo2]])+1))</f>
        <v>17</v>
      </c>
      <c r="B18" s="5" t="s">
        <v>17</v>
      </c>
      <c r="C18" s="6" t="s">
        <v>2</v>
      </c>
      <c r="D18" s="6" t="s">
        <v>21</v>
      </c>
      <c r="E18" s="5" t="s">
        <v>110</v>
      </c>
      <c r="F18" s="20" t="s">
        <v>64</v>
      </c>
      <c r="G18" s="21" t="s">
        <v>64</v>
      </c>
      <c r="H18" s="5">
        <v>2</v>
      </c>
      <c r="I18" s="7">
        <v>44726</v>
      </c>
      <c r="J18" s="7"/>
      <c r="K18" s="22">
        <v>80869374</v>
      </c>
      <c r="L18" s="7">
        <v>45250</v>
      </c>
      <c r="M18" s="11">
        <v>1977.9</v>
      </c>
      <c r="N18" s="6" t="s">
        <v>96</v>
      </c>
      <c r="O18" s="5">
        <v>99039011</v>
      </c>
      <c r="P18" s="29" t="s">
        <v>110</v>
      </c>
      <c r="Q18" s="4">
        <f>IF(ISBLANK(OHTrans[[#This Row],[PO Number]]),"",IF(ISBLANK(OHTrans[[#This Row],[Recv Date]]),0,1))</f>
        <v>1</v>
      </c>
    </row>
    <row r="19" spans="1:17" ht="15.6" x14ac:dyDescent="0.3">
      <c r="A19" s="5">
        <f>IF(ISBLANK(OHTrans[[#This Row],[OpCo2]]),"",COUNTA(OHTrans[[#This Row],[OpCo2]])-(COUNTA(OHTrans[[#This Row],[OpCo2]])-ROW(OHTrans[[#This Row],[OpCo2]])+1))</f>
        <v>18</v>
      </c>
      <c r="B19" s="5" t="s">
        <v>17</v>
      </c>
      <c r="C19" s="6" t="s">
        <v>2</v>
      </c>
      <c r="D19" s="6" t="s">
        <v>21</v>
      </c>
      <c r="E19" s="5" t="s">
        <v>60</v>
      </c>
      <c r="F19" s="20" t="s">
        <v>64</v>
      </c>
      <c r="G19" s="21" t="s">
        <v>64</v>
      </c>
      <c r="H19" s="5">
        <v>6</v>
      </c>
      <c r="I19" s="7">
        <v>44663</v>
      </c>
      <c r="J19" s="7"/>
      <c r="K19" s="22">
        <v>80610689</v>
      </c>
      <c r="L19" s="7">
        <v>45205</v>
      </c>
      <c r="M19" s="11">
        <v>2440.34</v>
      </c>
      <c r="N19" s="6" t="s">
        <v>59</v>
      </c>
      <c r="O19" s="5">
        <v>71056315</v>
      </c>
      <c r="P19" s="29" t="s">
        <v>60</v>
      </c>
      <c r="Q19" s="4">
        <f>IF(ISBLANK(OHTrans[[#This Row],[PO Number]]),"",IF(ISBLANK(OHTrans[[#This Row],[Recv Date]]),0,1))</f>
        <v>1</v>
      </c>
    </row>
    <row r="20" spans="1:17" ht="15.6" x14ac:dyDescent="0.3">
      <c r="A20" s="5">
        <f>IF(ISBLANK(OHTrans[[#This Row],[OpCo2]]),"",COUNTA(OHTrans[[#This Row],[OpCo2]])-(COUNTA(OHTrans[[#This Row],[OpCo2]])-ROW(OHTrans[[#This Row],[OpCo2]])+1))</f>
        <v>19</v>
      </c>
      <c r="B20" s="5" t="s">
        <v>17</v>
      </c>
      <c r="C20" s="6" t="s">
        <v>2</v>
      </c>
      <c r="D20" s="6" t="s">
        <v>21</v>
      </c>
      <c r="E20" s="5" t="s">
        <v>78</v>
      </c>
      <c r="F20" s="18" t="s">
        <v>64</v>
      </c>
      <c r="G20" s="19" t="s">
        <v>64</v>
      </c>
      <c r="H20" s="5">
        <v>3</v>
      </c>
      <c r="I20" s="7">
        <v>44663</v>
      </c>
      <c r="J20" s="7"/>
      <c r="K20" s="22">
        <v>80610689</v>
      </c>
      <c r="L20" s="7">
        <v>45209</v>
      </c>
      <c r="M20" s="11">
        <v>2440.34</v>
      </c>
      <c r="N20" s="6" t="s">
        <v>79</v>
      </c>
      <c r="O20" s="5">
        <v>71056316</v>
      </c>
      <c r="P20" s="29" t="s">
        <v>78</v>
      </c>
      <c r="Q20" s="4">
        <f>IF(ISBLANK(OHTrans[[#This Row],[PO Number]]),"",IF(ISBLANK(OHTrans[[#This Row],[Recv Date]]),0,1))</f>
        <v>1</v>
      </c>
    </row>
    <row r="21" spans="1:17" ht="15.6" x14ac:dyDescent="0.3">
      <c r="A21" s="5">
        <f>IF(ISBLANK(OHTrans[[#This Row],[OpCo2]]),"",COUNTA(OHTrans[[#This Row],[OpCo2]])-(COUNTA(OHTrans[[#This Row],[OpCo2]])-ROW(OHTrans[[#This Row],[OpCo2]])+1))</f>
        <v>20</v>
      </c>
      <c r="B21" s="5" t="s">
        <v>17</v>
      </c>
      <c r="C21" s="6" t="s">
        <v>2</v>
      </c>
      <c r="D21" s="6" t="s">
        <v>21</v>
      </c>
      <c r="E21" s="5" t="s">
        <v>60</v>
      </c>
      <c r="F21" s="20" t="s">
        <v>64</v>
      </c>
      <c r="G21" s="21">
        <v>42305613</v>
      </c>
      <c r="H21" s="5">
        <v>1</v>
      </c>
      <c r="I21" s="7">
        <v>44663</v>
      </c>
      <c r="J21" s="7"/>
      <c r="K21" s="22">
        <v>80610689</v>
      </c>
      <c r="L21" s="7"/>
      <c r="M21" s="11">
        <v>2440.34</v>
      </c>
      <c r="N21" s="6" t="s">
        <v>59</v>
      </c>
      <c r="O21" s="5">
        <v>71056315</v>
      </c>
      <c r="P21" s="29"/>
      <c r="Q21" s="4">
        <f>IF(ISBLANK(OHTrans[[#This Row],[PO Number]]),"",IF(ISBLANK(OHTrans[[#This Row],[Recv Date]]),0,1))</f>
        <v>0</v>
      </c>
    </row>
    <row r="22" spans="1:17" ht="15.6" x14ac:dyDescent="0.3">
      <c r="A22" s="5">
        <f>IF(ISBLANK(OHTrans[[#This Row],[OpCo2]]),"",COUNTA(OHTrans[[#This Row],[OpCo2]])-(COUNTA(OHTrans[[#This Row],[OpCo2]])-ROW(OHTrans[[#This Row],[OpCo2]])+1))</f>
        <v>21</v>
      </c>
      <c r="B22" s="5" t="s">
        <v>17</v>
      </c>
      <c r="C22" s="6" t="s">
        <v>2</v>
      </c>
      <c r="D22" s="6" t="s">
        <v>1</v>
      </c>
      <c r="E22" s="5" t="s">
        <v>97</v>
      </c>
      <c r="F22" s="23">
        <v>56098133</v>
      </c>
      <c r="G22" s="24">
        <v>56098222</v>
      </c>
      <c r="H22" s="5">
        <v>90</v>
      </c>
      <c r="I22" s="7">
        <v>44845</v>
      </c>
      <c r="J22" s="7"/>
      <c r="K22" s="22">
        <v>81076592</v>
      </c>
      <c r="L22" s="7">
        <v>45205</v>
      </c>
      <c r="M22" s="11">
        <v>76.03</v>
      </c>
      <c r="N22" s="6" t="s">
        <v>98</v>
      </c>
      <c r="O22" s="5">
        <v>50081910</v>
      </c>
      <c r="P22" s="29" t="s">
        <v>97</v>
      </c>
      <c r="Q22" s="4">
        <f>IF(ISBLANK(OHTrans[[#This Row],[PO Number]]),"",IF(ISBLANK(OHTrans[[#This Row],[Recv Date]]),0,1))</f>
        <v>1</v>
      </c>
    </row>
    <row r="23" spans="1:17" ht="15.6" x14ac:dyDescent="0.3">
      <c r="A23" s="5">
        <f>IF(ISBLANK(OHTrans[[#This Row],[OpCo2]]),"",COUNTA(OHTrans[[#This Row],[OpCo2]])-(COUNTA(OHTrans[[#This Row],[OpCo2]])-ROW(OHTrans[[#This Row],[OpCo2]])+1))</f>
        <v>22</v>
      </c>
      <c r="B23" s="5" t="s">
        <v>17</v>
      </c>
      <c r="C23" s="6" t="s">
        <v>2</v>
      </c>
      <c r="D23" s="6" t="s">
        <v>21</v>
      </c>
      <c r="E23" s="5" t="s">
        <v>110</v>
      </c>
      <c r="F23" s="23" t="s">
        <v>64</v>
      </c>
      <c r="G23" s="24" t="s">
        <v>64</v>
      </c>
      <c r="H23" s="5">
        <v>3</v>
      </c>
      <c r="I23" s="7">
        <v>44726</v>
      </c>
      <c r="J23" s="7"/>
      <c r="K23" s="22">
        <v>80869374</v>
      </c>
      <c r="L23" s="7">
        <v>45250</v>
      </c>
      <c r="M23" s="11">
        <v>1977.9</v>
      </c>
      <c r="N23" s="6" t="s">
        <v>96</v>
      </c>
      <c r="O23" s="5">
        <v>99039011</v>
      </c>
      <c r="P23" s="29" t="s">
        <v>110</v>
      </c>
      <c r="Q23" s="4">
        <f>IF(ISBLANK(OHTrans[[#This Row],[PO Number]]),"",IF(ISBLANK(OHTrans[[#This Row],[Recv Date]]),0,1))</f>
        <v>1</v>
      </c>
    </row>
    <row r="24" spans="1:17" ht="15.6" x14ac:dyDescent="0.3">
      <c r="A24" s="5">
        <f>IF(ISBLANK(OHTrans[[#This Row],[OpCo2]]),"",COUNTA(OHTrans[[#This Row],[OpCo2]])-(COUNTA(OHTrans[[#This Row],[OpCo2]])-ROW(OHTrans[[#This Row],[OpCo2]])+1))</f>
        <v>23</v>
      </c>
      <c r="B24" s="5" t="s">
        <v>17</v>
      </c>
      <c r="C24" s="6" t="s">
        <v>2</v>
      </c>
      <c r="D24" s="6" t="s">
        <v>21</v>
      </c>
      <c r="E24" s="5" t="s">
        <v>110</v>
      </c>
      <c r="F24" s="23" t="s">
        <v>64</v>
      </c>
      <c r="G24" s="24" t="s">
        <v>64</v>
      </c>
      <c r="H24" s="5">
        <v>4</v>
      </c>
      <c r="I24" s="7">
        <v>44726</v>
      </c>
      <c r="J24" s="7"/>
      <c r="K24" s="22">
        <v>80869374</v>
      </c>
      <c r="L24" s="7">
        <v>45250</v>
      </c>
      <c r="M24" s="11">
        <v>1977.9</v>
      </c>
      <c r="N24" s="6" t="s">
        <v>96</v>
      </c>
      <c r="O24" s="5">
        <v>99039011</v>
      </c>
      <c r="P24" s="29" t="s">
        <v>110</v>
      </c>
      <c r="Q24" s="4">
        <f>IF(ISBLANK(OHTrans[[#This Row],[PO Number]]),"",IF(ISBLANK(OHTrans[[#This Row],[Recv Date]]),0,1))</f>
        <v>1</v>
      </c>
    </row>
    <row r="25" spans="1:17" ht="15.6" x14ac:dyDescent="0.3">
      <c r="A25" s="5">
        <f>IF(ISBLANK(OHTrans[[#This Row],[OpCo2]]),"",COUNTA(OHTrans[[#This Row],[OpCo2]])-(COUNTA(OHTrans[[#This Row],[OpCo2]])-ROW(OHTrans[[#This Row],[OpCo2]])+1))</f>
        <v>24</v>
      </c>
      <c r="B25" s="5" t="s">
        <v>17</v>
      </c>
      <c r="C25" s="6" t="s">
        <v>2</v>
      </c>
      <c r="D25" s="6" t="s">
        <v>21</v>
      </c>
      <c r="E25" s="5" t="s">
        <v>78</v>
      </c>
      <c r="F25" s="18" t="s">
        <v>64</v>
      </c>
      <c r="G25" s="19" t="s">
        <v>64</v>
      </c>
      <c r="H25" s="5">
        <v>1</v>
      </c>
      <c r="I25" s="7">
        <v>44663</v>
      </c>
      <c r="J25" s="7"/>
      <c r="K25" s="22">
        <v>80610689</v>
      </c>
      <c r="L25" s="7">
        <v>45209</v>
      </c>
      <c r="M25" s="11">
        <v>2440.34</v>
      </c>
      <c r="N25" s="6" t="s">
        <v>79</v>
      </c>
      <c r="O25" s="5">
        <v>71056316</v>
      </c>
      <c r="P25" s="29" t="s">
        <v>78</v>
      </c>
      <c r="Q25" s="4">
        <f>IF(ISBLANK(OHTrans[[#This Row],[PO Number]]),"",IF(ISBLANK(OHTrans[[#This Row],[Recv Date]]),0,1))</f>
        <v>1</v>
      </c>
    </row>
    <row r="26" spans="1:17" ht="15.6" x14ac:dyDescent="0.3">
      <c r="A26" s="5">
        <f>IF(ISBLANK(OHTrans[[#This Row],[OpCo2]]),"",COUNTA(OHTrans[[#This Row],[OpCo2]])-(COUNTA(OHTrans[[#This Row],[OpCo2]])-ROW(OHTrans[[#This Row],[OpCo2]])+1))</f>
        <v>25</v>
      </c>
      <c r="B26" s="5" t="s">
        <v>17</v>
      </c>
      <c r="C26" s="6" t="s">
        <v>2</v>
      </c>
      <c r="D26" s="6" t="s">
        <v>23</v>
      </c>
      <c r="E26" s="5" t="s">
        <v>60</v>
      </c>
      <c r="F26" s="23">
        <v>232247001</v>
      </c>
      <c r="G26" s="24">
        <v>232247024</v>
      </c>
      <c r="H26" s="5">
        <v>24</v>
      </c>
      <c r="I26" s="7">
        <v>45091</v>
      </c>
      <c r="J26" s="7"/>
      <c r="K26" s="22">
        <v>81159600</v>
      </c>
      <c r="L26" s="7">
        <v>45210</v>
      </c>
      <c r="M26" s="11">
        <v>1469</v>
      </c>
      <c r="N26" s="6" t="s">
        <v>99</v>
      </c>
      <c r="O26" s="6" t="s">
        <v>100</v>
      </c>
      <c r="P26" s="29" t="s">
        <v>60</v>
      </c>
      <c r="Q26" s="4">
        <f>IF(ISBLANK(OHTrans[[#This Row],[PO Number]]),"",IF(ISBLANK(OHTrans[[#This Row],[Recv Date]]),0,1))</f>
        <v>1</v>
      </c>
    </row>
    <row r="27" spans="1:17" ht="15.6" x14ac:dyDescent="0.3">
      <c r="A27" s="5">
        <f>IF(ISBLANK(OHTrans[[#This Row],[OpCo2]]),"",COUNTA(OHTrans[[#This Row],[OpCo2]])-(COUNTA(OHTrans[[#This Row],[OpCo2]])-ROW(OHTrans[[#This Row],[OpCo2]])+1))</f>
        <v>26</v>
      </c>
      <c r="B27" s="5" t="s">
        <v>17</v>
      </c>
      <c r="C27" s="6" t="s">
        <v>2</v>
      </c>
      <c r="D27" s="6" t="s">
        <v>23</v>
      </c>
      <c r="E27" s="5" t="s">
        <v>58</v>
      </c>
      <c r="F27" s="23">
        <v>231963001</v>
      </c>
      <c r="G27" s="24">
        <v>231963012</v>
      </c>
      <c r="H27" s="5">
        <v>12</v>
      </c>
      <c r="I27" s="7">
        <v>45091</v>
      </c>
      <c r="J27" s="7"/>
      <c r="K27" s="22">
        <v>81159600</v>
      </c>
      <c r="L27" s="7">
        <v>45210</v>
      </c>
      <c r="M27" s="11">
        <v>1469</v>
      </c>
      <c r="N27" s="6" t="s">
        <v>101</v>
      </c>
      <c r="O27" s="5">
        <v>71059898</v>
      </c>
      <c r="P27" s="29" t="s">
        <v>58</v>
      </c>
      <c r="Q27" s="4">
        <f>IF(ISBLANK(OHTrans[[#This Row],[PO Number]]),"",IF(ISBLANK(OHTrans[[#This Row],[Recv Date]]),0,1))</f>
        <v>1</v>
      </c>
    </row>
    <row r="28" spans="1:17" ht="15.6" x14ac:dyDescent="0.3">
      <c r="A28" s="5">
        <f>IF(ISBLANK(OHTrans[[#This Row],[OpCo2]]),"",COUNTA(OHTrans[[#This Row],[OpCo2]])-(COUNTA(OHTrans[[#This Row],[OpCo2]])-ROW(OHTrans[[#This Row],[OpCo2]])+1))</f>
        <v>27</v>
      </c>
      <c r="B28" s="5" t="s">
        <v>17</v>
      </c>
      <c r="C28" s="6" t="s">
        <v>2</v>
      </c>
      <c r="D28" s="6" t="s">
        <v>1</v>
      </c>
      <c r="E28" s="5" t="s">
        <v>40</v>
      </c>
      <c r="F28" s="18" t="s">
        <v>64</v>
      </c>
      <c r="G28" s="19" t="s">
        <v>64</v>
      </c>
      <c r="H28" s="5">
        <v>180</v>
      </c>
      <c r="I28" s="7">
        <v>44729</v>
      </c>
      <c r="J28" s="7"/>
      <c r="K28" s="22">
        <v>80887491</v>
      </c>
      <c r="L28" s="7">
        <v>45210</v>
      </c>
      <c r="M28" s="11">
        <v>70</v>
      </c>
      <c r="N28" s="6" t="s">
        <v>42</v>
      </c>
      <c r="O28" s="5">
        <v>50072367</v>
      </c>
      <c r="P28" s="29" t="s">
        <v>43</v>
      </c>
      <c r="Q28" s="4">
        <f>IF(ISBLANK(OHTrans[[#This Row],[PO Number]]),"",IF(ISBLANK(OHTrans[[#This Row],[Recv Date]]),0,1))</f>
        <v>1</v>
      </c>
    </row>
    <row r="29" spans="1:17" ht="15.6" x14ac:dyDescent="0.3">
      <c r="A29" s="5">
        <f>IF(ISBLANK(OHTrans[[#This Row],[OpCo2]]),"",COUNTA(OHTrans[[#This Row],[OpCo2]])-(COUNTA(OHTrans[[#This Row],[OpCo2]])-ROW(OHTrans[[#This Row],[OpCo2]])+1))</f>
        <v>28</v>
      </c>
      <c r="B29" s="5" t="s">
        <v>17</v>
      </c>
      <c r="C29" s="6" t="s">
        <v>2</v>
      </c>
      <c r="D29" s="6" t="s">
        <v>21</v>
      </c>
      <c r="E29" s="5" t="s">
        <v>58</v>
      </c>
      <c r="F29" s="18" t="s">
        <v>64</v>
      </c>
      <c r="G29" s="19" t="s">
        <v>64</v>
      </c>
      <c r="H29" s="5">
        <v>6</v>
      </c>
      <c r="I29" s="7">
        <v>44726</v>
      </c>
      <c r="J29" s="7"/>
      <c r="K29" s="22">
        <v>80869373</v>
      </c>
      <c r="L29" s="7">
        <v>45212</v>
      </c>
      <c r="M29" s="11">
        <v>2440.34</v>
      </c>
      <c r="N29" s="6" t="s">
        <v>57</v>
      </c>
      <c r="O29" s="5">
        <v>71056317</v>
      </c>
      <c r="P29" s="29" t="s">
        <v>58</v>
      </c>
      <c r="Q29" s="4">
        <f>IF(ISBLANK(OHTrans[[#This Row],[PO Number]]),"",IF(ISBLANK(OHTrans[[#This Row],[Recv Date]]),0,1))</f>
        <v>1</v>
      </c>
    </row>
    <row r="30" spans="1:17" ht="15.6" x14ac:dyDescent="0.3">
      <c r="A30" s="5">
        <f>IF(ISBLANK(OHTrans[[#This Row],[OpCo2]]),"",COUNTA(OHTrans[[#This Row],[OpCo2]])-(COUNTA(OHTrans[[#This Row],[OpCo2]])-ROW(OHTrans[[#This Row],[OpCo2]])+1))</f>
        <v>29</v>
      </c>
      <c r="B30" s="5" t="s">
        <v>17</v>
      </c>
      <c r="C30" s="6" t="s">
        <v>2</v>
      </c>
      <c r="D30" s="6" t="s">
        <v>21</v>
      </c>
      <c r="E30" s="5" t="s">
        <v>91</v>
      </c>
      <c r="F30" s="18" t="s">
        <v>64</v>
      </c>
      <c r="G30" s="19" t="s">
        <v>64</v>
      </c>
      <c r="H30" s="5">
        <v>54</v>
      </c>
      <c r="I30" s="7">
        <v>45114</v>
      </c>
      <c r="J30" s="7"/>
      <c r="K30" s="22">
        <v>81198944</v>
      </c>
      <c r="L30" s="7">
        <v>45216</v>
      </c>
      <c r="M30" s="11">
        <v>1872</v>
      </c>
      <c r="N30" s="6" t="s">
        <v>105</v>
      </c>
      <c r="O30" s="5">
        <v>99120450</v>
      </c>
      <c r="P30" s="29" t="s">
        <v>92</v>
      </c>
      <c r="Q30" s="4">
        <f>IF(ISBLANK(OHTrans[[#This Row],[PO Number]]),"",IF(ISBLANK(OHTrans[[#This Row],[Recv Date]]),0,1))</f>
        <v>1</v>
      </c>
    </row>
    <row r="31" spans="1:17" ht="15.6" x14ac:dyDescent="0.3">
      <c r="A31" s="5">
        <f>IF(ISBLANK(OHTrans[[#This Row],[OpCo2]]),"",COUNTA(OHTrans[[#This Row],[OpCo2]])-(COUNTA(OHTrans[[#This Row],[OpCo2]])-ROW(OHTrans[[#This Row],[OpCo2]])+1))</f>
        <v>30</v>
      </c>
      <c r="B31" s="5" t="s">
        <v>17</v>
      </c>
      <c r="C31" s="6"/>
      <c r="D31" s="6"/>
      <c r="E31" s="5" t="s">
        <v>108</v>
      </c>
      <c r="F31" s="18"/>
      <c r="G31" s="19"/>
      <c r="H31" s="5"/>
      <c r="I31" s="7" t="s">
        <v>64</v>
      </c>
      <c r="J31" s="7"/>
      <c r="K31" s="22" t="s">
        <v>64</v>
      </c>
      <c r="L31" s="7">
        <v>45015</v>
      </c>
      <c r="M31" s="11"/>
      <c r="N31" s="6"/>
      <c r="O31" s="5"/>
      <c r="P31" s="30" t="s">
        <v>108</v>
      </c>
      <c r="Q31" s="4">
        <f>IF(ISBLANK(OHTrans[[#This Row],[PO Number]]),"",IF(ISBLANK(OHTrans[[#This Row],[Recv Date]]),0,1))</f>
        <v>1</v>
      </c>
    </row>
    <row r="32" spans="1:17" ht="15.6" x14ac:dyDescent="0.3">
      <c r="A32" s="5">
        <f>IF(ISBLANK(OHTrans[[#This Row],[OpCo2]]),"",COUNTA(OHTrans[[#This Row],[OpCo2]])-(COUNTA(OHTrans[[#This Row],[OpCo2]])-ROW(OHTrans[[#This Row],[OpCo2]])+1))</f>
        <v>31</v>
      </c>
      <c r="B32" s="5" t="s">
        <v>17</v>
      </c>
      <c r="C32" s="6" t="s">
        <v>2</v>
      </c>
      <c r="D32" s="6" t="s">
        <v>23</v>
      </c>
      <c r="E32" s="5" t="s">
        <v>58</v>
      </c>
      <c r="F32" s="18">
        <v>231963031</v>
      </c>
      <c r="G32" s="19">
        <v>231963048</v>
      </c>
      <c r="H32" s="5">
        <v>18</v>
      </c>
      <c r="I32" s="7">
        <v>44970</v>
      </c>
      <c r="J32" s="7"/>
      <c r="K32" s="22">
        <v>81134366</v>
      </c>
      <c r="L32" s="7">
        <v>45272</v>
      </c>
      <c r="M32" s="11">
        <v>1469</v>
      </c>
      <c r="N32" s="6" t="s">
        <v>101</v>
      </c>
      <c r="O32" s="5">
        <v>71059898</v>
      </c>
      <c r="P32" s="29" t="s">
        <v>58</v>
      </c>
      <c r="Q32" s="4">
        <f>IF(ISBLANK(OHTrans[[#This Row],[PO Number]]),"",IF(ISBLANK(OHTrans[[#This Row],[Recv Date]]),0,1))</f>
        <v>1</v>
      </c>
    </row>
    <row r="33" spans="1:17" ht="15.6" x14ac:dyDescent="0.3">
      <c r="A33" s="5">
        <f>IF(ISBLANK(OHTrans[[#This Row],[OpCo2]]),"",COUNTA(OHTrans[[#This Row],[OpCo2]])-(COUNTA(OHTrans[[#This Row],[OpCo2]])-ROW(OHTrans[[#This Row],[OpCo2]])+1))</f>
        <v>32</v>
      </c>
      <c r="B33" s="5" t="s">
        <v>17</v>
      </c>
      <c r="C33" s="6" t="s">
        <v>2</v>
      </c>
      <c r="D33" s="6" t="s">
        <v>23</v>
      </c>
      <c r="E33" s="5" t="s">
        <v>60</v>
      </c>
      <c r="F33" s="18">
        <v>232247025</v>
      </c>
      <c r="G33" s="19">
        <v>232247036</v>
      </c>
      <c r="H33" s="5">
        <v>12</v>
      </c>
      <c r="I33" s="7">
        <v>44964</v>
      </c>
      <c r="J33" s="7"/>
      <c r="K33" s="22">
        <v>81131042</v>
      </c>
      <c r="L33" s="7">
        <v>45272</v>
      </c>
      <c r="M33" s="11">
        <v>1469</v>
      </c>
      <c r="N33" s="6" t="s">
        <v>99</v>
      </c>
      <c r="O33" s="5" t="s">
        <v>100</v>
      </c>
      <c r="P33" s="29" t="s">
        <v>60</v>
      </c>
      <c r="Q33" s="4">
        <f>IF(ISBLANK(OHTrans[[#This Row],[PO Number]]),"",IF(ISBLANK(OHTrans[[#This Row],[Recv Date]]),0,1))</f>
        <v>1</v>
      </c>
    </row>
    <row r="34" spans="1:17" ht="15.6" x14ac:dyDescent="0.3">
      <c r="A34" s="5">
        <f>IF(ISBLANK(OHTrans[[#This Row],[OpCo2]]),"",COUNTA(OHTrans[[#This Row],[OpCo2]])-(COUNTA(OHTrans[[#This Row],[OpCo2]])-ROW(OHTrans[[#This Row],[OpCo2]])+1))</f>
        <v>33</v>
      </c>
      <c r="B34" s="5" t="s">
        <v>17</v>
      </c>
      <c r="C34" s="6" t="s">
        <v>2</v>
      </c>
      <c r="D34" s="6" t="s">
        <v>23</v>
      </c>
      <c r="E34" s="5" t="s">
        <v>58</v>
      </c>
      <c r="F34" s="18">
        <v>231963013</v>
      </c>
      <c r="G34" s="56">
        <v>231963030</v>
      </c>
      <c r="H34" s="5">
        <v>18</v>
      </c>
      <c r="I34" s="7">
        <v>44964</v>
      </c>
      <c r="J34" s="7"/>
      <c r="K34" s="22">
        <v>81131042</v>
      </c>
      <c r="L34" s="7">
        <v>45272</v>
      </c>
      <c r="M34" s="11">
        <v>1469</v>
      </c>
      <c r="N34" s="6" t="s">
        <v>101</v>
      </c>
      <c r="O34" s="5">
        <v>71059898</v>
      </c>
      <c r="P34" s="27" t="s">
        <v>58</v>
      </c>
      <c r="Q34" s="4">
        <f>IF(ISBLANK(OHTrans[[#This Row],[PO Number]]),"",IF(ISBLANK(OHTrans[[#This Row],[Recv Date]]),0,1))</f>
        <v>1</v>
      </c>
    </row>
    <row r="35" spans="1:17" ht="15.6" x14ac:dyDescent="0.3">
      <c r="A35" s="5">
        <f>IF(ISBLANK(OHTrans[[#This Row],[OpCo2]]),"",COUNTA(OHTrans[[#This Row],[OpCo2]])-(COUNTA(OHTrans[[#This Row],[OpCo2]])-ROW(OHTrans[[#This Row],[OpCo2]])+1))</f>
        <v>34</v>
      </c>
      <c r="B35" s="5" t="s">
        <v>17</v>
      </c>
      <c r="C35" s="6" t="s">
        <v>2</v>
      </c>
      <c r="D35" s="6" t="s">
        <v>22</v>
      </c>
      <c r="E35" s="31" t="s">
        <v>111</v>
      </c>
      <c r="F35" s="23">
        <v>3809822</v>
      </c>
      <c r="G35" s="32">
        <v>3809921</v>
      </c>
      <c r="H35" s="5">
        <v>100</v>
      </c>
      <c r="I35" s="7">
        <v>44971</v>
      </c>
      <c r="J35" s="7"/>
      <c r="K35" s="22">
        <v>81135355</v>
      </c>
      <c r="L35" s="7">
        <v>45273</v>
      </c>
      <c r="M35" s="11">
        <v>216.4</v>
      </c>
      <c r="N35" s="6"/>
      <c r="O35" s="5"/>
      <c r="P35" s="29" t="s">
        <v>111</v>
      </c>
      <c r="Q35" s="4">
        <f>IF(ISBLANK(OHTrans[[#This Row],[PO Number]]),"",IF(ISBLANK(OHTrans[[#This Row],[Recv Date]]),0,1))</f>
        <v>1</v>
      </c>
    </row>
    <row r="36" spans="1:17" ht="15.6" x14ac:dyDescent="0.3">
      <c r="A36" s="5">
        <f>IF(ISBLANK(OHTrans[[#This Row],[OpCo2]]),"",COUNTA(OHTrans[[#This Row],[OpCo2]])-(COUNTA(OHTrans[[#This Row],[OpCo2]])-ROW(OHTrans[[#This Row],[OpCo2]])+1))</f>
        <v>35</v>
      </c>
      <c r="B36" s="5" t="s">
        <v>17</v>
      </c>
      <c r="C36" s="6" t="s">
        <v>2</v>
      </c>
      <c r="D36" s="6" t="s">
        <v>23</v>
      </c>
      <c r="E36" s="31" t="s">
        <v>52</v>
      </c>
      <c r="F36" s="23">
        <v>233085001</v>
      </c>
      <c r="G36" s="55">
        <v>233085009</v>
      </c>
      <c r="H36" s="5">
        <v>9</v>
      </c>
      <c r="I36" s="7">
        <v>45230</v>
      </c>
      <c r="J36" s="7"/>
      <c r="K36" s="22">
        <v>81244859</v>
      </c>
      <c r="L36" s="7">
        <v>45327</v>
      </c>
      <c r="M36" s="11">
        <v>4571</v>
      </c>
      <c r="N36" s="6" t="s">
        <v>140</v>
      </c>
      <c r="O36" s="5">
        <v>71056042</v>
      </c>
      <c r="P36" s="29" t="s">
        <v>52</v>
      </c>
      <c r="Q36" s="4">
        <f>IF(ISBLANK(OHTrans[[#This Row],[PO Number]]),"",IF(ISBLANK(OHTrans[[#This Row],[Recv Date]]),0,1))</f>
        <v>1</v>
      </c>
    </row>
    <row r="37" spans="1:17" ht="15.6" x14ac:dyDescent="0.3">
      <c r="A37" s="5">
        <f>IF(ISBLANK(OHTrans[[#This Row],[OpCo2]]),"",COUNTA(OHTrans[[#This Row],[OpCo2]])-(COUNTA(OHTrans[[#This Row],[OpCo2]])-ROW(OHTrans[[#This Row],[OpCo2]])+1))</f>
        <v>36</v>
      </c>
      <c r="B37" s="5" t="s">
        <v>17</v>
      </c>
      <c r="C37" s="6" t="s">
        <v>2</v>
      </c>
      <c r="D37" s="6" t="s">
        <v>23</v>
      </c>
      <c r="E37" s="31" t="s">
        <v>139</v>
      </c>
      <c r="F37" s="23">
        <v>233086001</v>
      </c>
      <c r="G37" s="55">
        <v>233086009</v>
      </c>
      <c r="H37" s="5">
        <v>9</v>
      </c>
      <c r="I37" s="7">
        <v>45230</v>
      </c>
      <c r="J37" s="7"/>
      <c r="K37" s="22">
        <v>81244859</v>
      </c>
      <c r="L37" s="7">
        <v>45347</v>
      </c>
      <c r="M37" s="11">
        <v>4571</v>
      </c>
      <c r="N37" s="6" t="s">
        <v>141</v>
      </c>
      <c r="O37" s="5">
        <v>71056043</v>
      </c>
      <c r="P37" s="29" t="s">
        <v>139</v>
      </c>
      <c r="Q37" s="4">
        <f>IF(ISBLANK(OHTrans[[#This Row],[PO Number]]),"",IF(ISBLANK(OHTrans[[#This Row],[Recv Date]]),0,1))</f>
        <v>1</v>
      </c>
    </row>
    <row r="38" spans="1:17" ht="15.6" x14ac:dyDescent="0.3">
      <c r="A38" s="5">
        <f>IF(ISBLANK(OHTrans[[#This Row],[OpCo2]]),"",COUNTA(OHTrans[[#This Row],[OpCo2]])-(COUNTA(OHTrans[[#This Row],[OpCo2]])-ROW(OHTrans[[#This Row],[OpCo2]])+1))</f>
        <v>37</v>
      </c>
      <c r="B38" s="5" t="s">
        <v>17</v>
      </c>
      <c r="C38" s="6" t="s">
        <v>2</v>
      </c>
      <c r="D38" s="6" t="s">
        <v>1</v>
      </c>
      <c r="E38" s="31" t="s">
        <v>16</v>
      </c>
      <c r="F38" s="23">
        <v>56205249</v>
      </c>
      <c r="G38" s="55">
        <v>56205338</v>
      </c>
      <c r="H38" s="5">
        <v>90</v>
      </c>
      <c r="I38" s="7">
        <v>44790</v>
      </c>
      <c r="J38" s="7"/>
      <c r="K38" s="22">
        <v>81026861</v>
      </c>
      <c r="L38" s="7">
        <v>45352</v>
      </c>
      <c r="M38" s="11">
        <v>73.44</v>
      </c>
      <c r="N38" s="6" t="s">
        <v>19</v>
      </c>
      <c r="O38" s="5">
        <v>78100875</v>
      </c>
      <c r="P38" s="29" t="s">
        <v>38</v>
      </c>
      <c r="Q38" s="4">
        <f>IF(ISBLANK(OHTrans[[#This Row],[PO Number]]),"",IF(ISBLANK(OHTrans[[#This Row],[Recv Date]]),0,1))</f>
        <v>1</v>
      </c>
    </row>
    <row r="39" spans="1:17" ht="15.6" x14ac:dyDescent="0.3">
      <c r="A39" s="5">
        <f>IF(ISBLANK(OHTrans[[#This Row],[OpCo2]]),"",COUNTA(OHTrans[[#This Row],[OpCo2]])-(COUNTA(OHTrans[[#This Row],[OpCo2]])-ROW(OHTrans[[#This Row],[OpCo2]])+1))</f>
        <v>38</v>
      </c>
      <c r="B39" s="5" t="s">
        <v>17</v>
      </c>
      <c r="C39" s="6" t="s">
        <v>2</v>
      </c>
      <c r="D39" s="6" t="s">
        <v>1</v>
      </c>
      <c r="E39" s="31" t="s">
        <v>34</v>
      </c>
      <c r="F39" s="23">
        <v>56212607</v>
      </c>
      <c r="G39" s="55">
        <v>56212786</v>
      </c>
      <c r="H39" s="5">
        <v>180</v>
      </c>
      <c r="I39" s="7">
        <v>45005</v>
      </c>
      <c r="J39" s="7"/>
      <c r="K39" s="22">
        <v>81151660</v>
      </c>
      <c r="L39" s="7">
        <v>45371</v>
      </c>
      <c r="M39" s="11">
        <v>81.2</v>
      </c>
      <c r="N39" s="6" t="s">
        <v>33</v>
      </c>
      <c r="O39" s="5">
        <v>50070360</v>
      </c>
      <c r="P39" s="29" t="s">
        <v>34</v>
      </c>
      <c r="Q39" s="4">
        <f>IF(ISBLANK(OHTrans[[#This Row],[PO Number]]),"",IF(ISBLANK(OHTrans[[#This Row],[Recv Date]]),0,1))</f>
        <v>1</v>
      </c>
    </row>
    <row r="40" spans="1:17" ht="15.6" x14ac:dyDescent="0.3">
      <c r="A40" s="5">
        <f>IF(ISBLANK(OHTrans[[#This Row],[OpCo2]]),"",COUNTA(OHTrans[[#This Row],[OpCo2]])-(COUNTA(OHTrans[[#This Row],[OpCo2]])-ROW(OHTrans[[#This Row],[OpCo2]])+1))</f>
        <v>39</v>
      </c>
      <c r="B40" s="5" t="s">
        <v>17</v>
      </c>
      <c r="C40" s="6" t="s">
        <v>2</v>
      </c>
      <c r="D40" s="6" t="s">
        <v>23</v>
      </c>
      <c r="E40" s="5" t="s">
        <v>60</v>
      </c>
      <c r="F40" s="23">
        <v>245246002</v>
      </c>
      <c r="G40" s="55">
        <v>245246008</v>
      </c>
      <c r="H40" s="5">
        <v>6</v>
      </c>
      <c r="I40" s="7">
        <v>44970</v>
      </c>
      <c r="J40" s="7"/>
      <c r="K40" s="22">
        <v>81134366</v>
      </c>
      <c r="L40" s="7">
        <v>45377</v>
      </c>
      <c r="M40" s="11">
        <v>1056</v>
      </c>
      <c r="N40" s="6" t="s">
        <v>99</v>
      </c>
      <c r="O40" s="5">
        <v>71059900</v>
      </c>
      <c r="P40" s="29" t="s">
        <v>60</v>
      </c>
      <c r="Q40" s="4">
        <f>IF(ISBLANK(OHTrans[[#This Row],[PO Number]]),"",IF(ISBLANK(OHTrans[[#This Row],[Recv Date]]),0,1))</f>
        <v>1</v>
      </c>
    </row>
    <row r="41" spans="1:17" ht="15.6" x14ac:dyDescent="0.3">
      <c r="A41" s="5">
        <f>IF(ISBLANK(OHTrans[[#This Row],[OpCo2]]),"",COUNTA(OHTrans[[#This Row],[OpCo2]])-(COUNTA(OHTrans[[#This Row],[OpCo2]])-ROW(OHTrans[[#This Row],[OpCo2]])+1))</f>
        <v>40</v>
      </c>
      <c r="B41" s="5" t="s">
        <v>17</v>
      </c>
      <c r="C41" s="6" t="s">
        <v>2</v>
      </c>
      <c r="D41" s="6" t="s">
        <v>23</v>
      </c>
      <c r="E41" s="5" t="s">
        <v>52</v>
      </c>
      <c r="F41" s="23">
        <v>246382001</v>
      </c>
      <c r="G41" s="55">
        <v>246382009</v>
      </c>
      <c r="H41" s="5">
        <v>9</v>
      </c>
      <c r="I41" s="7">
        <v>45303</v>
      </c>
      <c r="J41" s="7"/>
      <c r="K41" s="22">
        <v>81270964</v>
      </c>
      <c r="L41" s="7">
        <v>45406</v>
      </c>
      <c r="M41" s="11">
        <v>4516</v>
      </c>
      <c r="N41" s="6" t="s">
        <v>140</v>
      </c>
      <c r="O41" s="6" t="s">
        <v>151</v>
      </c>
      <c r="P41" s="29" t="s">
        <v>52</v>
      </c>
      <c r="Q41" s="4">
        <f>IF(ISBLANK(OHTrans[[#This Row],[PO Number]]),"",IF(ISBLANK(OHTrans[[#This Row],[Recv Date]]),0,1))</f>
        <v>1</v>
      </c>
    </row>
    <row r="42" spans="1:17" ht="15.6" x14ac:dyDescent="0.3">
      <c r="A42" s="5">
        <f>IF(ISBLANK(OHTrans[[#This Row],[OpCo2]]),"",COUNTA(OHTrans[[#This Row],[OpCo2]])-(COUNTA(OHTrans[[#This Row],[OpCo2]])-ROW(OHTrans[[#This Row],[OpCo2]])+1))</f>
        <v>41</v>
      </c>
      <c r="B42" s="5" t="s">
        <v>17</v>
      </c>
      <c r="C42" s="6" t="s">
        <v>2</v>
      </c>
      <c r="D42" s="6" t="s">
        <v>23</v>
      </c>
      <c r="E42" s="5" t="s">
        <v>139</v>
      </c>
      <c r="F42" s="23">
        <v>246384001</v>
      </c>
      <c r="G42" s="55">
        <v>246384009</v>
      </c>
      <c r="H42" s="5">
        <v>9</v>
      </c>
      <c r="I42" s="7">
        <v>45303</v>
      </c>
      <c r="J42" s="7"/>
      <c r="K42" s="22">
        <v>81270964</v>
      </c>
      <c r="L42" s="7">
        <v>45406</v>
      </c>
      <c r="M42" s="11">
        <v>4516</v>
      </c>
      <c r="N42" s="6" t="s">
        <v>48</v>
      </c>
      <c r="O42" s="6" t="s">
        <v>153</v>
      </c>
      <c r="P42" s="29" t="s">
        <v>139</v>
      </c>
      <c r="Q42" s="4">
        <f>IF(ISBLANK(OHTrans[[#This Row],[PO Number]]),"",IF(ISBLANK(OHTrans[[#This Row],[Recv Date]]),0,1))</f>
        <v>1</v>
      </c>
    </row>
    <row r="43" spans="1:17" ht="15.6" x14ac:dyDescent="0.3">
      <c r="A43" s="5">
        <f>IF(ISBLANK(OHTrans[[#This Row],[OpCo2]]),"",COUNTA(OHTrans[[#This Row],[OpCo2]])-(COUNTA(OHTrans[[#This Row],[OpCo2]])-ROW(OHTrans[[#This Row],[OpCo2]])+1))</f>
        <v>42</v>
      </c>
      <c r="B43" s="5" t="s">
        <v>17</v>
      </c>
      <c r="C43" s="6" t="s">
        <v>2</v>
      </c>
      <c r="D43" s="6" t="s">
        <v>23</v>
      </c>
      <c r="E43" s="5" t="s">
        <v>51</v>
      </c>
      <c r="F43" s="23">
        <v>246386001</v>
      </c>
      <c r="G43" s="55">
        <v>246386009</v>
      </c>
      <c r="H43" s="5">
        <v>9</v>
      </c>
      <c r="I43" s="26">
        <v>45303</v>
      </c>
      <c r="J43" s="26"/>
      <c r="K43" s="22">
        <v>81270964</v>
      </c>
      <c r="L43" s="7">
        <v>45406</v>
      </c>
      <c r="M43" s="11">
        <v>4980</v>
      </c>
      <c r="N43" s="6" t="s">
        <v>50</v>
      </c>
      <c r="O43" s="6" t="s">
        <v>152</v>
      </c>
      <c r="P43" s="29" t="s">
        <v>51</v>
      </c>
      <c r="Q43" s="4">
        <f>IF(ISBLANK(OHTrans[[#This Row],[PO Number]]),"",IF(ISBLANK(OHTrans[[#This Row],[Recv Date]]),0,1))</f>
        <v>1</v>
      </c>
    </row>
    <row r="44" spans="1:17" ht="15.6" x14ac:dyDescent="0.3">
      <c r="A44" s="5">
        <f>IF(ISBLANK(OHTrans[[#This Row],[OpCo2]]),"",COUNTA(OHTrans[[#This Row],[OpCo2]])-(COUNTA(OHTrans[[#This Row],[OpCo2]])-ROW(OHTrans[[#This Row],[OpCo2]])+1))</f>
        <v>43</v>
      </c>
      <c r="B44" s="5" t="s">
        <v>17</v>
      </c>
      <c r="C44" s="6" t="s">
        <v>2</v>
      </c>
      <c r="D44" s="6" t="s">
        <v>23</v>
      </c>
      <c r="E44" s="5" t="s">
        <v>60</v>
      </c>
      <c r="F44" s="23">
        <v>245246010</v>
      </c>
      <c r="G44" s="55">
        <v>245246012</v>
      </c>
      <c r="H44" s="5">
        <v>3</v>
      </c>
      <c r="I44" s="7">
        <v>44970</v>
      </c>
      <c r="J44" s="7"/>
      <c r="K44" s="22">
        <v>81134366</v>
      </c>
      <c r="L44" s="7">
        <v>45406</v>
      </c>
      <c r="M44" s="11">
        <v>1056</v>
      </c>
      <c r="N44" s="6" t="s">
        <v>99</v>
      </c>
      <c r="O44" s="5">
        <v>71059900</v>
      </c>
      <c r="P44" s="29" t="s">
        <v>60</v>
      </c>
      <c r="Q44" s="4">
        <f>IF(ISBLANK(OHTrans[[#This Row],[PO Number]]),"",IF(ISBLANK(OHTrans[[#This Row],[Recv Date]]),0,1))</f>
        <v>1</v>
      </c>
    </row>
    <row r="45" spans="1:17" ht="15.6" x14ac:dyDescent="0.3">
      <c r="A45" s="5">
        <f>IF(ISBLANK(OHTrans[[#This Row],[OpCo2]]),"",COUNTA(OHTrans[[#This Row],[OpCo2]])-(COUNTA(OHTrans[[#This Row],[OpCo2]])-ROW(OHTrans[[#This Row],[OpCo2]])+1))</f>
        <v>44</v>
      </c>
      <c r="B45" s="5" t="s">
        <v>17</v>
      </c>
      <c r="C45" s="6" t="s">
        <v>2</v>
      </c>
      <c r="D45" s="6" t="s">
        <v>1</v>
      </c>
      <c r="E45" s="5" t="s">
        <v>27</v>
      </c>
      <c r="F45" s="23">
        <v>56225379</v>
      </c>
      <c r="G45" s="55">
        <v>56225558</v>
      </c>
      <c r="H45" s="5">
        <v>180</v>
      </c>
      <c r="I45" s="7">
        <v>45005</v>
      </c>
      <c r="J45" s="7"/>
      <c r="K45" s="22">
        <v>81151660</v>
      </c>
      <c r="L45" s="7">
        <v>45406</v>
      </c>
      <c r="M45" s="11">
        <v>81.2</v>
      </c>
      <c r="N45" s="6" t="s">
        <v>26</v>
      </c>
      <c r="O45" s="5">
        <v>71057111</v>
      </c>
      <c r="P45" s="29" t="s">
        <v>27</v>
      </c>
      <c r="Q45" s="4">
        <f>IF(ISBLANK(OHTrans[[#This Row],[PO Number]]),"",IF(ISBLANK(OHTrans[[#This Row],[Recv Date]]),0,1))</f>
        <v>1</v>
      </c>
    </row>
    <row r="46" spans="1:17" ht="15.6" x14ac:dyDescent="0.3">
      <c r="A46" s="5">
        <f>IF(ISBLANK(OHTrans[[#This Row],[OpCo2]]),"",COUNTA(OHTrans[[#This Row],[OpCo2]])-(COUNTA(OHTrans[[#This Row],[OpCo2]])-ROW(OHTrans[[#This Row],[OpCo2]])+1))</f>
        <v>45</v>
      </c>
      <c r="B46" s="5" t="s">
        <v>17</v>
      </c>
      <c r="C46" s="6" t="s">
        <v>2</v>
      </c>
      <c r="D46" s="6" t="s">
        <v>23</v>
      </c>
      <c r="E46" s="5" t="s">
        <v>139</v>
      </c>
      <c r="F46" s="23">
        <v>246383001</v>
      </c>
      <c r="G46" s="55">
        <v>246383009</v>
      </c>
      <c r="H46" s="5">
        <v>9</v>
      </c>
      <c r="I46" s="7">
        <v>45303</v>
      </c>
      <c r="J46" s="7"/>
      <c r="K46" s="22">
        <v>81270964</v>
      </c>
      <c r="L46" s="7">
        <v>45414</v>
      </c>
      <c r="M46" s="11">
        <v>4571</v>
      </c>
      <c r="N46" s="6" t="s">
        <v>141</v>
      </c>
      <c r="O46" s="5">
        <v>71056043</v>
      </c>
      <c r="P46" s="29" t="s">
        <v>139</v>
      </c>
      <c r="Q46" s="4">
        <f>IF(ISBLANK(OHTrans[[#This Row],[PO Number]]),"",IF(ISBLANK(OHTrans[[#This Row],[Recv Date]]),0,1))</f>
        <v>1</v>
      </c>
    </row>
    <row r="47" spans="1:17" ht="15.6" x14ac:dyDescent="0.3">
      <c r="A47" s="5">
        <f>IF(ISBLANK(OHTrans[[#This Row],[OpCo2]]),"",COUNTA(OHTrans[[#This Row],[OpCo2]])-(COUNTA(OHTrans[[#This Row],[OpCo2]])-ROW(OHTrans[[#This Row],[OpCo2]])+1))</f>
        <v>46</v>
      </c>
      <c r="B47" s="5" t="s">
        <v>17</v>
      </c>
      <c r="C47" s="6" t="s">
        <v>2</v>
      </c>
      <c r="D47" s="6" t="s">
        <v>1</v>
      </c>
      <c r="E47" s="5" t="s">
        <v>34</v>
      </c>
      <c r="F47" s="23">
        <v>56265983</v>
      </c>
      <c r="G47" s="55">
        <v>56266162</v>
      </c>
      <c r="H47" s="5">
        <v>180</v>
      </c>
      <c r="I47" s="7">
        <v>45091</v>
      </c>
      <c r="J47" s="7"/>
      <c r="K47" s="22">
        <v>81189705</v>
      </c>
      <c r="L47" s="7">
        <v>45421</v>
      </c>
      <c r="M47" s="11">
        <v>82.63</v>
      </c>
      <c r="N47" s="6" t="s">
        <v>33</v>
      </c>
      <c r="O47" s="5">
        <v>50070360</v>
      </c>
      <c r="P47" s="29" t="s">
        <v>34</v>
      </c>
      <c r="Q47" s="4">
        <f>IF(ISBLANK(OHTrans[[#This Row],[PO Number]]),"",IF(ISBLANK(OHTrans[[#This Row],[Recv Date]]),0,1))</f>
        <v>1</v>
      </c>
    </row>
    <row r="48" spans="1:17" ht="15.6" x14ac:dyDescent="0.3">
      <c r="A48" s="5">
        <f>IF(ISBLANK(OHTrans[[#This Row],[OpCo2]]),"",COUNTA(OHTrans[[#This Row],[OpCo2]])-(COUNTA(OHTrans[[#This Row],[OpCo2]])-ROW(OHTrans[[#This Row],[OpCo2]])+1))</f>
        <v>47</v>
      </c>
      <c r="B48" s="5" t="s">
        <v>17</v>
      </c>
      <c r="C48" s="6" t="s">
        <v>2</v>
      </c>
      <c r="D48" s="6" t="s">
        <v>1</v>
      </c>
      <c r="E48" s="5" t="s">
        <v>32</v>
      </c>
      <c r="F48" s="23">
        <v>56225649</v>
      </c>
      <c r="G48" s="55">
        <v>56225828</v>
      </c>
      <c r="H48" s="5">
        <v>180</v>
      </c>
      <c r="I48" s="7">
        <v>45005</v>
      </c>
      <c r="J48" s="7"/>
      <c r="K48" s="22">
        <v>81151660</v>
      </c>
      <c r="L48" s="7">
        <v>45445</v>
      </c>
      <c r="M48" s="11">
        <v>81.2</v>
      </c>
      <c r="N48" s="6" t="s">
        <v>31</v>
      </c>
      <c r="O48" s="5">
        <v>71059876</v>
      </c>
      <c r="P48" s="29" t="s">
        <v>32</v>
      </c>
      <c r="Q48" s="4">
        <f>IF(ISBLANK(OHTrans[[#This Row],[PO Number]]),"",IF(ISBLANK(OHTrans[[#This Row],[Recv Date]]),0,1))</f>
        <v>1</v>
      </c>
    </row>
    <row r="49" spans="1:17" ht="15.6" x14ac:dyDescent="0.3">
      <c r="A49" s="5">
        <f>IF(ISBLANK(OHTrans[[#This Row],[OpCo2]]),"",COUNTA(OHTrans[[#This Row],[OpCo2]])-(COUNTA(OHTrans[[#This Row],[OpCo2]])-ROW(OHTrans[[#This Row],[OpCo2]])+1))</f>
        <v>48</v>
      </c>
      <c r="B49" s="5" t="s">
        <v>17</v>
      </c>
      <c r="C49" s="6" t="s">
        <v>2</v>
      </c>
      <c r="D49" s="6" t="s">
        <v>22</v>
      </c>
      <c r="E49" s="5" t="s">
        <v>61</v>
      </c>
      <c r="F49" s="23">
        <v>3857251</v>
      </c>
      <c r="G49" s="55">
        <v>3857260</v>
      </c>
      <c r="H49" s="5">
        <v>10</v>
      </c>
      <c r="I49" s="7">
        <v>45237</v>
      </c>
      <c r="J49" s="7"/>
      <c r="K49" s="22">
        <v>81247546</v>
      </c>
      <c r="L49" s="7">
        <v>45474</v>
      </c>
      <c r="M49" s="11">
        <v>170.86</v>
      </c>
      <c r="N49" s="6" t="s">
        <v>159</v>
      </c>
      <c r="O49" s="5">
        <v>50080568</v>
      </c>
      <c r="P49" s="29" t="s">
        <v>61</v>
      </c>
      <c r="Q49" s="4">
        <f>IF(ISBLANK(OHTrans[[#This Row],[PO Number]]),"",IF(ISBLANK(OHTrans[[#This Row],[Recv Date]]),0,1))</f>
        <v>1</v>
      </c>
    </row>
    <row r="50" spans="1:17" ht="15.6" x14ac:dyDescent="0.3">
      <c r="A50" s="5">
        <f>IF(ISBLANK(OHTrans[[#This Row],[OpCo2]]),"",COUNTA(OHTrans[[#This Row],[OpCo2]])-(COUNTA(OHTrans[[#This Row],[OpCo2]])-ROW(OHTrans[[#This Row],[OpCo2]])+1))</f>
        <v>49</v>
      </c>
      <c r="B50" s="5" t="s">
        <v>17</v>
      </c>
      <c r="C50" s="6" t="s">
        <v>2</v>
      </c>
      <c r="D50" s="6" t="s">
        <v>24</v>
      </c>
      <c r="E50" s="5" t="s">
        <v>55</v>
      </c>
      <c r="F50" s="23" t="s">
        <v>166</v>
      </c>
      <c r="G50" s="55" t="s">
        <v>167</v>
      </c>
      <c r="H50" s="5">
        <v>180</v>
      </c>
      <c r="I50" s="7">
        <v>45322</v>
      </c>
      <c r="J50" s="7"/>
      <c r="K50" s="22">
        <v>81279138</v>
      </c>
      <c r="L50" s="7">
        <v>45482</v>
      </c>
      <c r="M50" s="11">
        <v>621.25</v>
      </c>
      <c r="N50" s="6" t="s">
        <v>54</v>
      </c>
      <c r="O50" s="5">
        <v>78105840</v>
      </c>
      <c r="P50" s="29" t="s">
        <v>56</v>
      </c>
      <c r="Q50" s="4">
        <f>IF(ISBLANK(OHTrans[[#This Row],[PO Number]]),"",IF(ISBLANK(OHTrans[[#This Row],[Recv Date]]),0,1))</f>
        <v>1</v>
      </c>
    </row>
    <row r="51" spans="1:17" ht="15.6" x14ac:dyDescent="0.3">
      <c r="A51" s="5">
        <f>IF(ISBLANK(OHTrans[[#This Row],[OpCo2]]),"",COUNTA(OHTrans[[#This Row],[OpCo2]])-(COUNTA(OHTrans[[#This Row],[OpCo2]])-ROW(OHTrans[[#This Row],[OpCo2]])+1))</f>
        <v>50</v>
      </c>
      <c r="B51" s="5" t="s">
        <v>17</v>
      </c>
      <c r="C51" s="6" t="s">
        <v>2</v>
      </c>
      <c r="D51" s="6" t="s">
        <v>24</v>
      </c>
      <c r="E51" s="5" t="s">
        <v>163</v>
      </c>
      <c r="F51" s="23" t="s">
        <v>64</v>
      </c>
      <c r="G51" s="55" t="s">
        <v>64</v>
      </c>
      <c r="H51" s="5">
        <v>90</v>
      </c>
      <c r="I51" s="7">
        <v>45322</v>
      </c>
      <c r="J51" s="7"/>
      <c r="K51" s="22">
        <v>81279138</v>
      </c>
      <c r="L51" s="7">
        <v>45482</v>
      </c>
      <c r="M51" s="11">
        <v>485.5</v>
      </c>
      <c r="N51" s="6" t="s">
        <v>162</v>
      </c>
      <c r="O51" s="5">
        <v>50059664</v>
      </c>
      <c r="P51" s="29" t="s">
        <v>164</v>
      </c>
      <c r="Q51" s="4">
        <f>IF(ISBLANK(OHTrans[[#This Row],[PO Number]]),"",IF(ISBLANK(OHTrans[[#This Row],[Recv Date]]),0,1))</f>
        <v>1</v>
      </c>
    </row>
    <row r="52" spans="1:17" ht="15.6" x14ac:dyDescent="0.3">
      <c r="A52" s="5">
        <f>IF(ISBLANK(OHTrans[[#This Row],[OpCo2]]),"",COUNTA(OHTrans[[#This Row],[OpCo2]])-(COUNTA(OHTrans[[#This Row],[OpCo2]])-ROW(OHTrans[[#This Row],[OpCo2]])+1))</f>
        <v>51</v>
      </c>
      <c r="B52" s="5" t="s">
        <v>17</v>
      </c>
      <c r="C52" s="6" t="s">
        <v>2</v>
      </c>
      <c r="D52" s="6" t="s">
        <v>22</v>
      </c>
      <c r="E52" s="5" t="s">
        <v>168</v>
      </c>
      <c r="F52" s="23">
        <v>3857291</v>
      </c>
      <c r="G52" s="55">
        <v>3857300</v>
      </c>
      <c r="H52" s="5">
        <v>10</v>
      </c>
      <c r="I52" s="7">
        <v>45237</v>
      </c>
      <c r="J52" s="7"/>
      <c r="K52" s="22">
        <v>81247546</v>
      </c>
      <c r="L52" s="7">
        <v>45482</v>
      </c>
      <c r="M52" s="11">
        <v>171.92</v>
      </c>
      <c r="N52" s="6" t="s">
        <v>169</v>
      </c>
      <c r="O52" s="5">
        <v>78105820</v>
      </c>
      <c r="P52" s="29" t="s">
        <v>165</v>
      </c>
      <c r="Q52" s="4">
        <f>IF(ISBLANK(OHTrans[[#This Row],[PO Number]]),"",IF(ISBLANK(OHTrans[[#This Row],[Recv Date]]),0,1))</f>
        <v>1</v>
      </c>
    </row>
    <row r="53" spans="1:17" ht="15.6" x14ac:dyDescent="0.3">
      <c r="A53" s="5">
        <f>IF(ISBLANK(OHTrans[[#This Row],[OpCo2]]),"",COUNTA(OHTrans[[#This Row],[OpCo2]])-(COUNTA(OHTrans[[#This Row],[OpCo2]])-ROW(OHTrans[[#This Row],[OpCo2]])+1))</f>
        <v>52</v>
      </c>
      <c r="B53" s="5" t="s">
        <v>17</v>
      </c>
      <c r="C53" s="6" t="s">
        <v>2</v>
      </c>
      <c r="D53" s="6" t="s">
        <v>21</v>
      </c>
      <c r="E53" s="5" t="s">
        <v>58</v>
      </c>
      <c r="F53" s="23" t="s">
        <v>64</v>
      </c>
      <c r="G53" s="55" t="s">
        <v>64</v>
      </c>
      <c r="H53" s="5">
        <v>3</v>
      </c>
      <c r="I53" s="7">
        <v>45442</v>
      </c>
      <c r="J53" s="7"/>
      <c r="K53" s="22">
        <v>81346712</v>
      </c>
      <c r="L53" s="7">
        <v>45488</v>
      </c>
      <c r="M53" s="11">
        <v>2733.18</v>
      </c>
      <c r="N53" s="6" t="s">
        <v>57</v>
      </c>
      <c r="O53" s="5">
        <v>71056317</v>
      </c>
      <c r="P53" s="29" t="s">
        <v>58</v>
      </c>
      <c r="Q53" s="4">
        <f>IF(ISBLANK(OHTrans[[#This Row],[PO Number]]),"",IF(ISBLANK(OHTrans[[#This Row],[Recv Date]]),0,1))</f>
        <v>1</v>
      </c>
    </row>
    <row r="54" spans="1:17" ht="15.6" x14ac:dyDescent="0.3">
      <c r="A54" s="5">
        <f>IF(ISBLANK(OHTrans[[#This Row],[OpCo2]]),"",COUNTA(OHTrans[[#This Row],[OpCo2]])-(COUNTA(OHTrans[[#This Row],[OpCo2]])-ROW(OHTrans[[#This Row],[OpCo2]])+1))</f>
        <v>53</v>
      </c>
      <c r="B54" s="5" t="s">
        <v>17</v>
      </c>
      <c r="C54" s="6" t="s">
        <v>2</v>
      </c>
      <c r="D54" s="6" t="s">
        <v>22</v>
      </c>
      <c r="E54" s="5" t="s">
        <v>168</v>
      </c>
      <c r="F54" s="23">
        <v>3857261</v>
      </c>
      <c r="G54" s="24">
        <v>3857290</v>
      </c>
      <c r="H54" s="5">
        <v>30</v>
      </c>
      <c r="I54" s="7">
        <v>45237</v>
      </c>
      <c r="J54" s="7"/>
      <c r="K54" s="22">
        <v>81247546</v>
      </c>
      <c r="L54" s="7">
        <v>45495</v>
      </c>
      <c r="M54" s="11">
        <v>171.92</v>
      </c>
      <c r="N54" s="6" t="s">
        <v>169</v>
      </c>
      <c r="O54" s="5">
        <v>78105820</v>
      </c>
      <c r="P54" s="29" t="s">
        <v>165</v>
      </c>
      <c r="Q54" s="4">
        <f>IF(ISBLANK(OHTrans[[#This Row],[PO Number]]),"",IF(ISBLANK(OHTrans[[#This Row],[Recv Date]]),0,1))</f>
        <v>1</v>
      </c>
    </row>
    <row r="55" spans="1:17" ht="15.6" x14ac:dyDescent="0.3">
      <c r="A55" s="5">
        <f>IF(ISBLANK(OHTrans[[#This Row],[OpCo2]]),"",COUNTA(OHTrans[[#This Row],[OpCo2]])-(COUNTA(OHTrans[[#This Row],[OpCo2]])-ROW(OHTrans[[#This Row],[OpCo2]])+1))</f>
        <v>54</v>
      </c>
      <c r="B55" s="5" t="s">
        <v>17</v>
      </c>
      <c r="C55" s="6" t="s">
        <v>2</v>
      </c>
      <c r="D55" s="6" t="s">
        <v>22</v>
      </c>
      <c r="E55" s="5" t="s">
        <v>61</v>
      </c>
      <c r="F55" s="23">
        <v>3857221</v>
      </c>
      <c r="G55" s="24">
        <v>3857250</v>
      </c>
      <c r="H55" s="5">
        <v>30</v>
      </c>
      <c r="I55" s="7">
        <v>45237</v>
      </c>
      <c r="J55" s="7"/>
      <c r="K55" s="22">
        <v>81247546</v>
      </c>
      <c r="L55" s="7">
        <v>45495</v>
      </c>
      <c r="M55" s="11">
        <v>170.86</v>
      </c>
      <c r="N55" s="6" t="s">
        <v>159</v>
      </c>
      <c r="O55" s="5">
        <v>50080568</v>
      </c>
      <c r="P55" s="29" t="s">
        <v>61</v>
      </c>
      <c r="Q55" s="4">
        <f>IF(ISBLANK(OHTrans[[#This Row],[PO Number]]),"",IF(ISBLANK(OHTrans[[#This Row],[Recv Date]]),0,1))</f>
        <v>1</v>
      </c>
    </row>
    <row r="56" spans="1:17" ht="15.6" x14ac:dyDescent="0.3">
      <c r="A56" s="5">
        <f>IF(ISBLANK(OHTrans[[#This Row],[OpCo2]]),"",COUNTA(OHTrans[[#This Row],[OpCo2]])-(COUNTA(OHTrans[[#This Row],[OpCo2]])-ROW(OHTrans[[#This Row],[OpCo2]])+1))</f>
        <v>55</v>
      </c>
      <c r="B56" s="5" t="s">
        <v>17</v>
      </c>
      <c r="C56" s="6" t="s">
        <v>2</v>
      </c>
      <c r="D56" s="6" t="s">
        <v>23</v>
      </c>
      <c r="E56" s="5" t="s">
        <v>60</v>
      </c>
      <c r="F56" s="23">
        <v>244316001</v>
      </c>
      <c r="G56" s="24">
        <v>244316018</v>
      </c>
      <c r="H56" s="5">
        <v>18</v>
      </c>
      <c r="I56" s="7">
        <v>45405</v>
      </c>
      <c r="J56" s="7"/>
      <c r="K56" s="22">
        <v>81327356</v>
      </c>
      <c r="L56" s="7">
        <v>45497</v>
      </c>
      <c r="M56" s="11">
        <v>1467</v>
      </c>
      <c r="N56" s="6" t="s">
        <v>99</v>
      </c>
      <c r="O56" s="5">
        <v>71059900</v>
      </c>
      <c r="P56" s="29" t="s">
        <v>60</v>
      </c>
      <c r="Q56" s="4">
        <f>IF(ISBLANK(OHTrans[[#This Row],[PO Number]]),"",IF(ISBLANK(OHTrans[[#This Row],[Recv Date]]),0,1))</f>
        <v>1</v>
      </c>
    </row>
    <row r="57" spans="1:17" ht="15.6" x14ac:dyDescent="0.3">
      <c r="A57" s="5">
        <f>IF(ISBLANK(OHTrans[[#This Row],[OpCo2]]),"",COUNTA(OHTrans[[#This Row],[OpCo2]])-(COUNTA(OHTrans[[#This Row],[OpCo2]])-ROW(OHTrans[[#This Row],[OpCo2]])+1))</f>
        <v>56</v>
      </c>
      <c r="B57" s="5" t="s">
        <v>17</v>
      </c>
      <c r="C57" s="6" t="s">
        <v>2</v>
      </c>
      <c r="D57" s="6" t="s">
        <v>23</v>
      </c>
      <c r="E57" s="5" t="s">
        <v>58</v>
      </c>
      <c r="F57" s="23">
        <v>244315001</v>
      </c>
      <c r="G57" s="24">
        <v>244315012</v>
      </c>
      <c r="H57" s="5">
        <v>12</v>
      </c>
      <c r="I57" s="7">
        <v>45405</v>
      </c>
      <c r="J57" s="7"/>
      <c r="K57" s="22">
        <v>81327356</v>
      </c>
      <c r="L57" s="7">
        <v>45497</v>
      </c>
      <c r="M57" s="11">
        <v>1467</v>
      </c>
      <c r="N57" s="6" t="s">
        <v>101</v>
      </c>
      <c r="O57" s="5">
        <v>71059898</v>
      </c>
      <c r="P57" s="29" t="s">
        <v>58</v>
      </c>
      <c r="Q57" s="4">
        <f>IF(ISBLANK(OHTrans[[#This Row],[PO Number]]),"",IF(ISBLANK(OHTrans[[#This Row],[Recv Date]]),0,1))</f>
        <v>1</v>
      </c>
    </row>
    <row r="58" spans="1:17" ht="15.6" x14ac:dyDescent="0.3">
      <c r="A58" s="5">
        <f>IF(ISBLANK(OHTrans[[#This Row],[OpCo2]]),"",COUNTA(OHTrans[[#This Row],[OpCo2]])-(COUNTA(OHTrans[[#This Row],[OpCo2]])-ROW(OHTrans[[#This Row],[OpCo2]])+1))</f>
        <v>57</v>
      </c>
      <c r="B58" s="5" t="s">
        <v>17</v>
      </c>
      <c r="C58" s="6" t="s">
        <v>2</v>
      </c>
      <c r="D58" s="6" t="s">
        <v>1</v>
      </c>
      <c r="E58" s="5" t="s">
        <v>32</v>
      </c>
      <c r="F58" s="23">
        <v>56315441</v>
      </c>
      <c r="G58" s="24">
        <v>56315620</v>
      </c>
      <c r="H58" s="5">
        <v>180</v>
      </c>
      <c r="I58" s="7">
        <v>45091</v>
      </c>
      <c r="J58" s="7"/>
      <c r="K58" s="22">
        <v>81189705</v>
      </c>
      <c r="L58" s="7">
        <v>45499</v>
      </c>
      <c r="M58" s="11">
        <v>82.63</v>
      </c>
      <c r="N58" s="6" t="s">
        <v>31</v>
      </c>
      <c r="O58" s="5">
        <v>71059876</v>
      </c>
      <c r="P58" s="29" t="s">
        <v>32</v>
      </c>
      <c r="Q58" s="4">
        <f>IF(ISBLANK(OHTrans[[#This Row],[PO Number]]),"",IF(ISBLANK(OHTrans[[#This Row],[Recv Date]]),0,1))</f>
        <v>1</v>
      </c>
    </row>
    <row r="59" spans="1:17" ht="15.6" x14ac:dyDescent="0.3">
      <c r="A59" s="5">
        <f>IF(ISBLANK(OHTrans[[#This Row],[OpCo2]]),"",COUNTA(OHTrans[[#This Row],[OpCo2]])-(COUNTA(OHTrans[[#This Row],[OpCo2]])-ROW(OHTrans[[#This Row],[OpCo2]])+1))</f>
        <v>58</v>
      </c>
      <c r="B59" s="5" t="s">
        <v>17</v>
      </c>
      <c r="C59" s="6" t="s">
        <v>2</v>
      </c>
      <c r="D59" s="6" t="s">
        <v>1</v>
      </c>
      <c r="E59" s="5" t="s">
        <v>40</v>
      </c>
      <c r="F59" s="23">
        <v>56276955</v>
      </c>
      <c r="G59" s="24">
        <v>56277044</v>
      </c>
      <c r="H59" s="5">
        <v>90</v>
      </c>
      <c r="I59" s="7">
        <v>44831</v>
      </c>
      <c r="J59" s="7"/>
      <c r="K59" s="22">
        <v>81069359</v>
      </c>
      <c r="L59" s="7">
        <v>45499</v>
      </c>
      <c r="M59" s="11">
        <v>70</v>
      </c>
      <c r="N59" s="6" t="s">
        <v>42</v>
      </c>
      <c r="O59" s="5">
        <v>50072367</v>
      </c>
      <c r="P59" s="29" t="s">
        <v>40</v>
      </c>
      <c r="Q59" s="4">
        <f>IF(ISBLANK(OHTrans[[#This Row],[PO Number]]),"",IF(ISBLANK(OHTrans[[#This Row],[Recv Date]]),0,1))</f>
        <v>1</v>
      </c>
    </row>
    <row r="60" spans="1:17" ht="15.6" x14ac:dyDescent="0.3">
      <c r="A60" s="5">
        <f>IF(ISBLANK(OHTrans[[#This Row],[OpCo2]]),"",COUNTA(OHTrans[[#This Row],[OpCo2]])-(COUNTA(OHTrans[[#This Row],[OpCo2]])-ROW(OHTrans[[#This Row],[OpCo2]])+1))</f>
        <v>59</v>
      </c>
      <c r="B60" s="5" t="s">
        <v>17</v>
      </c>
      <c r="C60" s="6" t="s">
        <v>2</v>
      </c>
      <c r="D60" s="6" t="s">
        <v>21</v>
      </c>
      <c r="E60" s="5" t="s">
        <v>58</v>
      </c>
      <c r="F60" s="23" t="s">
        <v>64</v>
      </c>
      <c r="G60" s="24" t="s">
        <v>64</v>
      </c>
      <c r="H60" s="5">
        <v>6</v>
      </c>
      <c r="I60" s="7">
        <v>45442</v>
      </c>
      <c r="J60" s="7"/>
      <c r="K60" s="22">
        <v>81346712</v>
      </c>
      <c r="L60" s="7">
        <v>45502</v>
      </c>
      <c r="M60" s="11">
        <v>2733.18</v>
      </c>
      <c r="N60" s="6" t="s">
        <v>57</v>
      </c>
      <c r="O60" s="5">
        <v>71056317</v>
      </c>
      <c r="P60" s="29" t="s">
        <v>58</v>
      </c>
      <c r="Q60" s="4">
        <f>IF(ISBLANK(OHTrans[[#This Row],[PO Number]]),"",IF(ISBLANK(OHTrans[[#This Row],[Recv Date]]),0,1))</f>
        <v>1</v>
      </c>
    </row>
    <row r="61" spans="1:17" ht="15.6" x14ac:dyDescent="0.3">
      <c r="A61" s="5">
        <f>IF(ISBLANK(OHTrans[[#This Row],[OpCo2]]),"",COUNTA(OHTrans[[#This Row],[OpCo2]])-(COUNTA(OHTrans[[#This Row],[OpCo2]])-ROW(OHTrans[[#This Row],[OpCo2]])+1))</f>
        <v>60</v>
      </c>
      <c r="B61" s="5" t="s">
        <v>17</v>
      </c>
      <c r="C61" s="6" t="s">
        <v>2</v>
      </c>
      <c r="D61" s="6" t="s">
        <v>21</v>
      </c>
      <c r="E61" s="5" t="s">
        <v>58</v>
      </c>
      <c r="F61" s="23" t="s">
        <v>64</v>
      </c>
      <c r="G61" s="24" t="s">
        <v>64</v>
      </c>
      <c r="H61" s="5">
        <v>2</v>
      </c>
      <c r="I61" s="7">
        <v>45442</v>
      </c>
      <c r="J61" s="7"/>
      <c r="K61" s="22">
        <v>81346712</v>
      </c>
      <c r="L61" s="7">
        <v>45505</v>
      </c>
      <c r="M61" s="11">
        <v>2733.18</v>
      </c>
      <c r="N61" s="6" t="s">
        <v>57</v>
      </c>
      <c r="O61" s="5">
        <v>71056317</v>
      </c>
      <c r="P61" s="29" t="s">
        <v>58</v>
      </c>
      <c r="Q61" s="4">
        <f>IF(ISBLANK(OHTrans[[#This Row],[PO Number]]),"",IF(ISBLANK(OHTrans[[#This Row],[Recv Date]]),0,1))</f>
        <v>1</v>
      </c>
    </row>
    <row r="62" spans="1:17" ht="15.6" x14ac:dyDescent="0.3">
      <c r="A62" s="5">
        <f>IF(ISBLANK(OHTrans[[#This Row],[OpCo2]]),"",COUNTA(OHTrans[[#This Row],[OpCo2]])-(COUNTA(OHTrans[[#This Row],[OpCo2]])-ROW(OHTrans[[#This Row],[OpCo2]])+1))</f>
        <v>61</v>
      </c>
      <c r="B62" s="5" t="s">
        <v>17</v>
      </c>
      <c r="C62" s="6" t="s">
        <v>2</v>
      </c>
      <c r="D62" s="6" t="s">
        <v>1</v>
      </c>
      <c r="E62" s="5" t="s">
        <v>27</v>
      </c>
      <c r="F62" s="23">
        <v>56315261</v>
      </c>
      <c r="G62" s="24">
        <v>56315440</v>
      </c>
      <c r="H62" s="5">
        <v>180</v>
      </c>
      <c r="I62" s="7">
        <v>45091</v>
      </c>
      <c r="J62" s="7"/>
      <c r="K62" s="22">
        <v>81189705</v>
      </c>
      <c r="L62" s="7">
        <v>45506</v>
      </c>
      <c r="M62" s="11">
        <v>82.63</v>
      </c>
      <c r="N62" s="6" t="s">
        <v>26</v>
      </c>
      <c r="O62" s="5">
        <v>71057111</v>
      </c>
      <c r="P62" s="29" t="s">
        <v>27</v>
      </c>
      <c r="Q62" s="4">
        <f>IF(ISBLANK(OHTrans[[#This Row],[PO Number]]),"",IF(ISBLANK(OHTrans[[#This Row],[Recv Date]]),0,1))</f>
        <v>1</v>
      </c>
    </row>
    <row r="63" spans="1:17" ht="15.6" x14ac:dyDescent="0.3">
      <c r="A63" s="5">
        <f>IF(ISBLANK(OHTrans[[#This Row],[OpCo2]]),"",COUNTA(OHTrans[[#This Row],[OpCo2]])-(COUNTA(OHTrans[[#This Row],[OpCo2]])-ROW(OHTrans[[#This Row],[OpCo2]])+1))</f>
        <v>62</v>
      </c>
      <c r="B63" s="5" t="s">
        <v>17</v>
      </c>
      <c r="C63" s="6" t="s">
        <v>2</v>
      </c>
      <c r="D63" s="6" t="s">
        <v>1</v>
      </c>
      <c r="E63" s="5" t="s">
        <v>40</v>
      </c>
      <c r="F63" s="23">
        <v>56277045</v>
      </c>
      <c r="G63" s="24">
        <v>56277134</v>
      </c>
      <c r="H63" s="5">
        <v>90</v>
      </c>
      <c r="I63" s="7">
        <v>44831</v>
      </c>
      <c r="J63" s="7"/>
      <c r="K63" s="22">
        <v>81069359</v>
      </c>
      <c r="L63" s="7">
        <v>45531</v>
      </c>
      <c r="M63" s="11">
        <v>70</v>
      </c>
      <c r="N63" s="6" t="s">
        <v>42</v>
      </c>
      <c r="O63" s="5">
        <v>50072367</v>
      </c>
      <c r="P63" s="29" t="s">
        <v>40</v>
      </c>
      <c r="Q63" s="4">
        <f>IF(ISBLANK(OHTrans[[#This Row],[PO Number]]),"",IF(ISBLANK(OHTrans[[#This Row],[Recv Date]]),0,1))</f>
        <v>1</v>
      </c>
    </row>
    <row r="64" spans="1:17" ht="15.6" x14ac:dyDescent="0.3">
      <c r="A64" s="5">
        <f>IF(ISBLANK(OHTrans[[#This Row],[OpCo2]]),"",COUNTA(OHTrans[[#This Row],[OpCo2]])-(COUNTA(OHTrans[[#This Row],[OpCo2]])-ROW(OHTrans[[#This Row],[OpCo2]])+1))</f>
        <v>63</v>
      </c>
      <c r="B64" s="5" t="s">
        <v>17</v>
      </c>
      <c r="C64" s="6" t="s">
        <v>2</v>
      </c>
      <c r="D64" s="6" t="s">
        <v>1</v>
      </c>
      <c r="E64" s="5" t="s">
        <v>34</v>
      </c>
      <c r="F64" s="23">
        <v>56351665</v>
      </c>
      <c r="G64" s="24">
        <v>56351844</v>
      </c>
      <c r="H64" s="5">
        <v>180</v>
      </c>
      <c r="I64" s="7">
        <v>45470</v>
      </c>
      <c r="J64" s="7"/>
      <c r="K64" s="22">
        <v>81358282</v>
      </c>
      <c r="L64" s="7">
        <v>45551</v>
      </c>
      <c r="M64" s="11">
        <v>102.68</v>
      </c>
      <c r="N64" s="6" t="s">
        <v>33</v>
      </c>
      <c r="O64" s="5">
        <v>50070360</v>
      </c>
      <c r="P64" s="29" t="s">
        <v>34</v>
      </c>
      <c r="Q64" s="4">
        <f>IF(ISBLANK(OHTrans[[#This Row],[PO Number]]),"",IF(ISBLANK(OHTrans[[#This Row],[Recv Date]]),0,1))</f>
        <v>1</v>
      </c>
    </row>
    <row r="65" spans="1:17" ht="15.6" x14ac:dyDescent="0.3">
      <c r="A65" s="5">
        <f>IF(ISBLANK(OHTrans[[#This Row],[OpCo2]]),"",COUNTA(OHTrans[[#This Row],[OpCo2]])-(COUNTA(OHTrans[[#This Row],[OpCo2]])-ROW(OHTrans[[#This Row],[OpCo2]])+1))</f>
        <v>64</v>
      </c>
      <c r="B65" s="5" t="s">
        <v>17</v>
      </c>
      <c r="C65" s="6" t="s">
        <v>2</v>
      </c>
      <c r="D65" s="6" t="s">
        <v>23</v>
      </c>
      <c r="E65" s="5" t="s">
        <v>139</v>
      </c>
      <c r="F65" s="23">
        <v>240235001</v>
      </c>
      <c r="G65" s="24">
        <v>240235009</v>
      </c>
      <c r="H65" s="5">
        <v>9</v>
      </c>
      <c r="I65" s="7">
        <v>45470</v>
      </c>
      <c r="J65" s="7"/>
      <c r="K65" s="22">
        <v>81352903</v>
      </c>
      <c r="L65" s="7">
        <v>45551</v>
      </c>
      <c r="M65" s="11">
        <v>4582</v>
      </c>
      <c r="N65" s="6" t="s">
        <v>141</v>
      </c>
      <c r="O65" s="5">
        <v>71056043</v>
      </c>
      <c r="P65" s="29" t="s">
        <v>139</v>
      </c>
      <c r="Q65" s="4">
        <f>IF(ISBLANK(OHTrans[[#This Row],[PO Number]]),"",IF(ISBLANK(OHTrans[[#This Row],[Recv Date]]),0,1))</f>
        <v>1</v>
      </c>
    </row>
    <row r="66" spans="1:17" ht="15.6" x14ac:dyDescent="0.3">
      <c r="A66" s="5">
        <f>IF(ISBLANK(OHTrans[[#This Row],[OpCo2]]),"",COUNTA(OHTrans[[#This Row],[OpCo2]])-(COUNTA(OHTrans[[#This Row],[OpCo2]])-ROW(OHTrans[[#This Row],[OpCo2]])+1))</f>
        <v>65</v>
      </c>
      <c r="B66" s="5" t="s">
        <v>17</v>
      </c>
      <c r="C66" s="6" t="s">
        <v>2</v>
      </c>
      <c r="D66" s="6" t="s">
        <v>23</v>
      </c>
      <c r="E66" s="5" t="s">
        <v>52</v>
      </c>
      <c r="F66" s="23">
        <v>240234001</v>
      </c>
      <c r="G66" s="24">
        <v>240234006</v>
      </c>
      <c r="H66" s="5">
        <v>6</v>
      </c>
      <c r="I66" s="7">
        <v>45470</v>
      </c>
      <c r="J66" s="7"/>
      <c r="K66" s="22">
        <v>81352903</v>
      </c>
      <c r="L66" s="7">
        <v>45551</v>
      </c>
      <c r="M66" s="11">
        <v>4582</v>
      </c>
      <c r="N66" s="6" t="s">
        <v>140</v>
      </c>
      <c r="O66" s="5">
        <v>71056042</v>
      </c>
      <c r="P66" s="29" t="s">
        <v>52</v>
      </c>
      <c r="Q66" s="4">
        <f>IF(ISBLANK(OHTrans[[#This Row],[PO Number]]),"",IF(ISBLANK(OHTrans[[#This Row],[Recv Date]]),0,1))</f>
        <v>1</v>
      </c>
    </row>
    <row r="67" spans="1:17" ht="15.6" x14ac:dyDescent="0.3">
      <c r="A67" s="5">
        <f>IF(ISBLANK(OHTrans[[#This Row],[OpCo2]]),"",COUNTA(OHTrans[[#This Row],[OpCo2]])-(COUNTA(OHTrans[[#This Row],[OpCo2]])-ROW(OHTrans[[#This Row],[OpCo2]])+1))</f>
        <v>66</v>
      </c>
      <c r="B67" s="5" t="s">
        <v>17</v>
      </c>
      <c r="C67" s="6" t="s">
        <v>2</v>
      </c>
      <c r="D67" s="6" t="s">
        <v>23</v>
      </c>
      <c r="E67" s="5" t="s">
        <v>49</v>
      </c>
      <c r="F67" s="23">
        <v>240236001</v>
      </c>
      <c r="G67" s="24">
        <v>240236009</v>
      </c>
      <c r="H67" s="5">
        <v>6</v>
      </c>
      <c r="I67" s="7">
        <v>45470</v>
      </c>
      <c r="J67" s="7"/>
      <c r="K67" s="22">
        <v>81352903</v>
      </c>
      <c r="L67" s="7">
        <v>45551</v>
      </c>
      <c r="M67" s="11">
        <v>4582</v>
      </c>
      <c r="N67" s="6" t="s">
        <v>48</v>
      </c>
      <c r="O67" s="5">
        <v>71056044</v>
      </c>
      <c r="P67" s="29" t="s">
        <v>49</v>
      </c>
      <c r="Q67" s="4">
        <f>IF(ISBLANK(OHTrans[[#This Row],[PO Number]]),"",IF(ISBLANK(OHTrans[[#This Row],[Recv Date]]),0,1))</f>
        <v>1</v>
      </c>
    </row>
    <row r="68" spans="1:17" ht="15.6" x14ac:dyDescent="0.3">
      <c r="A68" s="5">
        <f>IF(ISBLANK(OHTrans[[#This Row],[OpCo2]]),"",COUNTA(OHTrans[[#This Row],[OpCo2]])-(COUNTA(OHTrans[[#This Row],[OpCo2]])-ROW(OHTrans[[#This Row],[OpCo2]])+1))</f>
        <v>67</v>
      </c>
      <c r="B68" s="5" t="s">
        <v>17</v>
      </c>
      <c r="C68" s="6" t="s">
        <v>2</v>
      </c>
      <c r="D68" s="6" t="s">
        <v>1</v>
      </c>
      <c r="E68" s="5" t="s">
        <v>32</v>
      </c>
      <c r="F68" s="23">
        <v>56371343</v>
      </c>
      <c r="G68" s="24">
        <v>56371522</v>
      </c>
      <c r="H68" s="5">
        <v>180</v>
      </c>
      <c r="I68" s="7">
        <v>45470</v>
      </c>
      <c r="J68" s="7"/>
      <c r="K68" s="22">
        <v>81358282</v>
      </c>
      <c r="L68" s="7">
        <v>45573</v>
      </c>
      <c r="M68" s="11">
        <v>120.24</v>
      </c>
      <c r="N68" s="6" t="s">
        <v>31</v>
      </c>
      <c r="O68" s="5">
        <v>71059876</v>
      </c>
      <c r="P68" s="29" t="s">
        <v>32</v>
      </c>
      <c r="Q68" s="4">
        <f>IF(ISBLANK(OHTrans[[#This Row],[PO Number]]),"",IF(ISBLANK(OHTrans[[#This Row],[Recv Date]]),0,1))</f>
        <v>1</v>
      </c>
    </row>
    <row r="69" spans="1:17" ht="15.6" x14ac:dyDescent="0.3">
      <c r="A69" s="5">
        <f>IF(ISBLANK(OHTrans[[#This Row],[OpCo2]]),"",COUNTA(OHTrans[[#This Row],[OpCo2]])-(COUNTA(OHTrans[[#This Row],[OpCo2]])-ROW(OHTrans[[#This Row],[OpCo2]])+1))</f>
        <v>68</v>
      </c>
      <c r="B69" s="5" t="s">
        <v>17</v>
      </c>
      <c r="C69" s="6" t="s">
        <v>2</v>
      </c>
      <c r="D69" s="6" t="s">
        <v>1</v>
      </c>
      <c r="E69" s="5" t="s">
        <v>40</v>
      </c>
      <c r="F69" s="23">
        <v>56366133</v>
      </c>
      <c r="G69" s="24">
        <v>56366312</v>
      </c>
      <c r="H69" s="5">
        <v>180</v>
      </c>
      <c r="I69" s="7">
        <v>45470</v>
      </c>
      <c r="J69" s="7"/>
      <c r="K69" s="22">
        <v>81358282</v>
      </c>
      <c r="L69" s="7">
        <v>45575</v>
      </c>
      <c r="M69" s="11">
        <v>106.4</v>
      </c>
      <c r="N69" s="6" t="s">
        <v>42</v>
      </c>
      <c r="O69" s="5">
        <v>50072367</v>
      </c>
      <c r="P69" s="29" t="s">
        <v>40</v>
      </c>
      <c r="Q69" s="4">
        <f>IF(ISBLANK(OHTrans[[#This Row],[PO Number]]),"",IF(ISBLANK(OHTrans[[#This Row],[Recv Date]]),0,1))</f>
        <v>1</v>
      </c>
    </row>
    <row r="70" spans="1:17" ht="15.6" x14ac:dyDescent="0.3">
      <c r="A70" s="5">
        <f>IF(ISBLANK(OHTrans[[#This Row],[OpCo2]]),"",COUNTA(OHTrans[[#This Row],[OpCo2]])-(COUNTA(OHTrans[[#This Row],[OpCo2]])-ROW(OHTrans[[#This Row],[OpCo2]])+1))</f>
        <v>69</v>
      </c>
      <c r="B70" s="5" t="s">
        <v>17</v>
      </c>
      <c r="C70" s="6" t="s">
        <v>2</v>
      </c>
      <c r="D70" s="6" t="s">
        <v>23</v>
      </c>
      <c r="E70" s="5" t="s">
        <v>179</v>
      </c>
      <c r="F70" s="23">
        <v>240237001</v>
      </c>
      <c r="G70" s="24">
        <v>240237012</v>
      </c>
      <c r="H70" s="5">
        <v>12</v>
      </c>
      <c r="I70" s="7">
        <v>45470</v>
      </c>
      <c r="J70" s="7"/>
      <c r="K70" s="22">
        <v>81352903</v>
      </c>
      <c r="L70" s="7">
        <v>45587</v>
      </c>
      <c r="M70" s="11">
        <v>780</v>
      </c>
      <c r="N70" s="6" t="s">
        <v>180</v>
      </c>
      <c r="O70" s="6" t="s">
        <v>181</v>
      </c>
      <c r="P70" s="29" t="s">
        <v>179</v>
      </c>
      <c r="Q70" s="4">
        <f>IF(ISBLANK(OHTrans[[#This Row],[PO Number]]),"",IF(ISBLANK(OHTrans[[#This Row],[Recv Date]]),0,1))</f>
        <v>1</v>
      </c>
    </row>
    <row r="71" spans="1:17" ht="15.6" x14ac:dyDescent="0.3">
      <c r="A71" s="5">
        <f>IF(ISBLANK(OHTrans[[#This Row],[OpCo2]]),"",COUNTA(OHTrans[[#This Row],[OpCo2]])-(COUNTA(OHTrans[[#This Row],[OpCo2]])-ROW(OHTrans[[#This Row],[OpCo2]])+1))</f>
        <v>70</v>
      </c>
      <c r="B71" s="5" t="s">
        <v>17</v>
      </c>
      <c r="C71" s="6" t="s">
        <v>2</v>
      </c>
      <c r="D71" s="6" t="s">
        <v>1</v>
      </c>
      <c r="E71" s="5" t="s">
        <v>47</v>
      </c>
      <c r="F71" s="23">
        <v>56370789</v>
      </c>
      <c r="G71" s="24">
        <v>56370908</v>
      </c>
      <c r="H71" s="5">
        <v>120</v>
      </c>
      <c r="I71" s="7">
        <v>45470</v>
      </c>
      <c r="J71" s="7"/>
      <c r="K71" s="22">
        <v>81358282</v>
      </c>
      <c r="L71" s="7">
        <v>45629</v>
      </c>
      <c r="M71" s="11">
        <v>106.4</v>
      </c>
      <c r="N71" s="6" t="s">
        <v>46</v>
      </c>
      <c r="O71" s="5">
        <v>71059877</v>
      </c>
      <c r="P71" s="29" t="s">
        <v>47</v>
      </c>
      <c r="Q71" s="4">
        <f>IF(ISBLANK(OHTrans[[#This Row],[PO Number]]),"",IF(ISBLANK(OHTrans[[#This Row],[Recv Date]]),0,1))</f>
        <v>1</v>
      </c>
    </row>
    <row r="72" spans="1:17" ht="15.6" x14ac:dyDescent="0.3">
      <c r="A72" s="5">
        <f>IF(ISBLANK(OHTrans[[#This Row],[OpCo2]]),"",COUNTA(OHTrans[[#This Row],[OpCo2]])-(COUNTA(OHTrans[[#This Row],[OpCo2]])-ROW(OHTrans[[#This Row],[OpCo2]])+1))</f>
        <v>71</v>
      </c>
      <c r="B72" s="5" t="s">
        <v>17</v>
      </c>
      <c r="C72" s="6" t="s">
        <v>2</v>
      </c>
      <c r="D72" s="6" t="s">
        <v>1</v>
      </c>
      <c r="E72" s="5" t="s">
        <v>27</v>
      </c>
      <c r="F72" s="23">
        <v>56378700</v>
      </c>
      <c r="G72" s="24">
        <v>56378879</v>
      </c>
      <c r="H72" s="5">
        <v>180</v>
      </c>
      <c r="I72" s="7">
        <v>45470</v>
      </c>
      <c r="J72" s="7"/>
      <c r="K72" s="22">
        <v>81358282</v>
      </c>
      <c r="L72" s="7">
        <v>45632</v>
      </c>
      <c r="M72" s="11">
        <v>120.24</v>
      </c>
      <c r="N72" s="6" t="s">
        <v>26</v>
      </c>
      <c r="O72" s="5">
        <v>71057111</v>
      </c>
      <c r="P72" s="29" t="s">
        <v>27</v>
      </c>
      <c r="Q72" s="4">
        <f>IF(ISBLANK(OHTrans[[#This Row],[PO Number]]),"",IF(ISBLANK(OHTrans[[#This Row],[Recv Date]]),0,1))</f>
        <v>1</v>
      </c>
    </row>
    <row r="73" spans="1:17" ht="15.6" x14ac:dyDescent="0.3">
      <c r="A73" s="5">
        <f>IF(ISBLANK(OHTrans[[#This Row],[OpCo2]]),"",COUNTA(OHTrans[[#This Row],[OpCo2]])-(COUNTA(OHTrans[[#This Row],[OpCo2]])-ROW(OHTrans[[#This Row],[OpCo2]])+1))</f>
        <v>72</v>
      </c>
      <c r="B73" s="5" t="s">
        <v>17</v>
      </c>
      <c r="C73" s="6" t="s">
        <v>2</v>
      </c>
      <c r="D73" s="6" t="s">
        <v>22</v>
      </c>
      <c r="E73" s="5" t="s">
        <v>168</v>
      </c>
      <c r="F73" s="23">
        <v>3894829</v>
      </c>
      <c r="G73" s="24">
        <v>3894868</v>
      </c>
      <c r="H73" s="5">
        <v>40</v>
      </c>
      <c r="I73" s="7">
        <v>45461</v>
      </c>
      <c r="J73" s="7"/>
      <c r="K73" s="22">
        <v>81353883</v>
      </c>
      <c r="L73" s="7">
        <v>45649</v>
      </c>
      <c r="M73" s="11">
        <v>171.92</v>
      </c>
      <c r="N73" s="6" t="s">
        <v>169</v>
      </c>
      <c r="O73" s="5">
        <v>78105820</v>
      </c>
      <c r="P73" s="29" t="s">
        <v>165</v>
      </c>
      <c r="Q73" s="4">
        <f>IF(ISBLANK(OHTrans[[#This Row],[PO Number]]),"",IF(ISBLANK(OHTrans[[#This Row],[Recv Date]]),0,1))</f>
        <v>1</v>
      </c>
    </row>
    <row r="74" spans="1:17" ht="15.6" x14ac:dyDescent="0.3">
      <c r="A74" s="5">
        <f>IF(ISBLANK(OHTrans[[#This Row],[OpCo2]]),"",COUNTA(OHTrans[[#This Row],[OpCo2]])-(COUNTA(OHTrans[[#This Row],[OpCo2]])-ROW(OHTrans[[#This Row],[OpCo2]])+1))</f>
        <v>73</v>
      </c>
      <c r="B74" s="5" t="s">
        <v>17</v>
      </c>
      <c r="C74" s="6" t="s">
        <v>2</v>
      </c>
      <c r="D74" s="6" t="s">
        <v>22</v>
      </c>
      <c r="E74" s="5" t="s">
        <v>61</v>
      </c>
      <c r="F74" s="23">
        <v>3894789</v>
      </c>
      <c r="G74" s="24">
        <v>3894828</v>
      </c>
      <c r="H74" s="5">
        <v>40</v>
      </c>
      <c r="I74" s="7">
        <v>45461</v>
      </c>
      <c r="J74" s="7"/>
      <c r="K74" s="22">
        <v>81353883</v>
      </c>
      <c r="L74" s="7">
        <v>45665</v>
      </c>
      <c r="M74" s="11">
        <v>170.86</v>
      </c>
      <c r="N74" s="6" t="s">
        <v>159</v>
      </c>
      <c r="O74" s="5">
        <v>50080568</v>
      </c>
      <c r="P74" s="29" t="s">
        <v>61</v>
      </c>
      <c r="Q74" s="4">
        <f>IF(ISBLANK(OHTrans[[#This Row],[PO Number]]),"",IF(ISBLANK(OHTrans[[#This Row],[Recv Date]]),0,1))</f>
        <v>1</v>
      </c>
    </row>
    <row r="75" spans="1:17" ht="15.6" x14ac:dyDescent="0.3">
      <c r="A75" s="5">
        <f>IF(ISBLANK(OHTrans[[#This Row],[OpCo2]]),"",COUNTA(OHTrans[[#This Row],[OpCo2]])-(COUNTA(OHTrans[[#This Row],[OpCo2]])-ROW(OHTrans[[#This Row],[OpCo2]])+1))</f>
        <v>74</v>
      </c>
      <c r="B75" s="5" t="s">
        <v>17</v>
      </c>
      <c r="C75" s="6" t="s">
        <v>2</v>
      </c>
      <c r="D75" s="6" t="s">
        <v>21</v>
      </c>
      <c r="E75" s="5" t="s">
        <v>60</v>
      </c>
      <c r="F75" s="23">
        <v>32423794</v>
      </c>
      <c r="G75" s="24">
        <v>32423795</v>
      </c>
      <c r="H75" s="5">
        <v>2</v>
      </c>
      <c r="I75" s="7">
        <v>45442</v>
      </c>
      <c r="J75" s="7"/>
      <c r="K75" s="22">
        <v>81346712</v>
      </c>
      <c r="L75" s="7">
        <v>45665</v>
      </c>
      <c r="M75" s="11">
        <v>2586.7600000000002</v>
      </c>
      <c r="N75" s="6" t="s">
        <v>59</v>
      </c>
      <c r="O75" s="5">
        <v>71056315</v>
      </c>
      <c r="P75" s="29" t="s">
        <v>60</v>
      </c>
      <c r="Q75" s="4">
        <f>IF(ISBLANK(OHTrans[[#This Row],[PO Number]]),"",IF(ISBLANK(OHTrans[[#This Row],[Recv Date]]),0,1))</f>
        <v>1</v>
      </c>
    </row>
    <row r="76" spans="1:17" ht="15.6" x14ac:dyDescent="0.3">
      <c r="A76" s="5">
        <f>IF(ISBLANK(OHTrans[[#This Row],[OpCo2]]),"",COUNTA(OHTrans[[#This Row],[OpCo2]])-(COUNTA(OHTrans[[#This Row],[OpCo2]])-ROW(OHTrans[[#This Row],[OpCo2]])+1))</f>
        <v>75</v>
      </c>
      <c r="B76" s="5" t="s">
        <v>17</v>
      </c>
      <c r="C76" s="6" t="s">
        <v>2</v>
      </c>
      <c r="D76" s="6" t="s">
        <v>22</v>
      </c>
      <c r="E76" s="5" t="s">
        <v>40</v>
      </c>
      <c r="F76" s="23">
        <v>3870981</v>
      </c>
      <c r="G76" s="24">
        <v>3871160</v>
      </c>
      <c r="H76" s="5">
        <v>180</v>
      </c>
      <c r="I76" s="7">
        <v>45237</v>
      </c>
      <c r="J76" s="7"/>
      <c r="K76" s="22">
        <v>81247545</v>
      </c>
      <c r="L76" s="7">
        <v>45673</v>
      </c>
      <c r="M76" s="11">
        <v>166.19</v>
      </c>
      <c r="N76" s="6" t="s">
        <v>39</v>
      </c>
      <c r="O76" s="5">
        <v>50056327</v>
      </c>
      <c r="P76" s="29" t="s">
        <v>40</v>
      </c>
      <c r="Q76" s="4">
        <f>IF(ISBLANK(OHTrans[[#This Row],[PO Number]]),"",IF(ISBLANK(OHTrans[[#This Row],[Recv Date]]),0,1))</f>
        <v>1</v>
      </c>
    </row>
    <row r="77" spans="1:17" ht="15.6" x14ac:dyDescent="0.3">
      <c r="A77" s="5">
        <f>IF(ISBLANK(OHTrans[[#This Row],[OpCo2]]),"",COUNTA(OHTrans[[#This Row],[OpCo2]])-(COUNTA(OHTrans[[#This Row],[OpCo2]])-ROW(OHTrans[[#This Row],[OpCo2]])+1))</f>
        <v>76</v>
      </c>
      <c r="B77" s="5" t="s">
        <v>17</v>
      </c>
      <c r="C77" s="6" t="s">
        <v>2</v>
      </c>
      <c r="D77" s="6" t="s">
        <v>24</v>
      </c>
      <c r="E77" s="5" t="s">
        <v>55</v>
      </c>
      <c r="F77" s="23" t="s">
        <v>183</v>
      </c>
      <c r="G77" s="24" t="s">
        <v>184</v>
      </c>
      <c r="H77" s="5">
        <v>90</v>
      </c>
      <c r="I77" s="7">
        <v>45603</v>
      </c>
      <c r="J77" s="7"/>
      <c r="K77" s="22">
        <v>81408528</v>
      </c>
      <c r="L77" s="7">
        <v>45684</v>
      </c>
      <c r="M77" s="11">
        <v>621.25</v>
      </c>
      <c r="N77" s="6" t="s">
        <v>54</v>
      </c>
      <c r="O77" s="5">
        <v>78105840</v>
      </c>
      <c r="P77" s="29" t="s">
        <v>56</v>
      </c>
      <c r="Q77" s="4">
        <f>IF(ISBLANK(OHTrans[[#This Row],[PO Number]]),"",IF(ISBLANK(OHTrans[[#This Row],[Recv Date]]),0,1))</f>
        <v>1</v>
      </c>
    </row>
    <row r="78" spans="1:17" ht="15.6" x14ac:dyDescent="0.3">
      <c r="A78" s="5">
        <f>IF(ISBLANK(OHTrans[[#This Row],[OpCo2]]),"",COUNTA(OHTrans[[#This Row],[OpCo2]])-(COUNTA(OHTrans[[#This Row],[OpCo2]])-ROW(OHTrans[[#This Row],[OpCo2]])+1))</f>
        <v>77</v>
      </c>
      <c r="B78" s="5" t="s">
        <v>17</v>
      </c>
      <c r="C78" s="6" t="s">
        <v>2</v>
      </c>
      <c r="D78" s="6" t="s">
        <v>1</v>
      </c>
      <c r="E78" s="5" t="s">
        <v>32</v>
      </c>
      <c r="F78" s="23">
        <v>56425001</v>
      </c>
      <c r="G78" s="24">
        <v>56425180</v>
      </c>
      <c r="H78" s="5">
        <v>180</v>
      </c>
      <c r="I78" s="7">
        <v>45621</v>
      </c>
      <c r="J78" s="7"/>
      <c r="K78" s="22">
        <v>81415490</v>
      </c>
      <c r="L78" s="7">
        <v>45719</v>
      </c>
      <c r="M78" s="11">
        <v>120.28</v>
      </c>
      <c r="N78" s="6" t="s">
        <v>31</v>
      </c>
      <c r="O78" s="5">
        <v>71059876</v>
      </c>
      <c r="P78" s="29" t="s">
        <v>32</v>
      </c>
      <c r="Q78" s="4">
        <f>IF(ISBLANK(OHTrans[[#This Row],[PO Number]]),"",IF(ISBLANK(OHTrans[[#This Row],[Recv Date]]),0,1))</f>
        <v>1</v>
      </c>
    </row>
    <row r="79" spans="1:17" ht="15.6" x14ac:dyDescent="0.3">
      <c r="A79" s="5">
        <f>IF(ISBLANK(OHTrans[[#This Row],[OpCo2]]),"",COUNTA(OHTrans[[#This Row],[OpCo2]])-(COUNTA(OHTrans[[#This Row],[OpCo2]])-ROW(OHTrans[[#This Row],[OpCo2]])+1))</f>
        <v>78</v>
      </c>
      <c r="B79" s="5" t="s">
        <v>17</v>
      </c>
      <c r="C79" s="6" t="s">
        <v>2</v>
      </c>
      <c r="D79" s="6" t="s">
        <v>1</v>
      </c>
      <c r="E79" s="5" t="s">
        <v>34</v>
      </c>
      <c r="F79" s="23">
        <v>56417612</v>
      </c>
      <c r="G79" s="24">
        <v>56417770</v>
      </c>
      <c r="H79" s="5">
        <v>159</v>
      </c>
      <c r="I79" s="7">
        <v>45621</v>
      </c>
      <c r="J79" s="7"/>
      <c r="K79" s="22">
        <v>81415490</v>
      </c>
      <c r="L79" s="7">
        <v>45719</v>
      </c>
      <c r="M79" s="11">
        <v>102.72</v>
      </c>
      <c r="N79" s="6" t="s">
        <v>33</v>
      </c>
      <c r="O79" s="5">
        <v>50070360</v>
      </c>
      <c r="P79" s="29" t="s">
        <v>30</v>
      </c>
      <c r="Q79" s="4">
        <f>IF(ISBLANK(OHTrans[[#This Row],[PO Number]]),"",IF(ISBLANK(OHTrans[[#This Row],[Recv Date]]),0,1))</f>
        <v>1</v>
      </c>
    </row>
    <row r="80" spans="1:17" ht="15.6" x14ac:dyDescent="0.3">
      <c r="A80" s="5">
        <f>IF(ISBLANK(OHTrans[[#This Row],[OpCo2]]),"",COUNTA(OHTrans[[#This Row],[OpCo2]])-(COUNTA(OHTrans[[#This Row],[OpCo2]])-ROW(OHTrans[[#This Row],[OpCo2]])+1))</f>
        <v>79</v>
      </c>
      <c r="B80" s="5" t="s">
        <v>17</v>
      </c>
      <c r="C80" s="6" t="s">
        <v>2</v>
      </c>
      <c r="D80" s="6" t="s">
        <v>1</v>
      </c>
      <c r="E80" s="5" t="s">
        <v>34</v>
      </c>
      <c r="F80" s="23">
        <v>56446214</v>
      </c>
      <c r="G80" s="24">
        <v>56446234</v>
      </c>
      <c r="H80" s="5">
        <v>21</v>
      </c>
      <c r="I80" s="7">
        <v>45621</v>
      </c>
      <c r="J80" s="7"/>
      <c r="K80" s="22">
        <v>81415490</v>
      </c>
      <c r="L80" s="7">
        <v>45719</v>
      </c>
      <c r="M80" s="11">
        <v>102.72</v>
      </c>
      <c r="N80" s="6" t="s">
        <v>33</v>
      </c>
      <c r="O80" s="5">
        <v>50070360</v>
      </c>
      <c r="P80" s="29" t="s">
        <v>30</v>
      </c>
      <c r="Q80" s="4">
        <f>IF(ISBLANK(OHTrans[[#This Row],[PO Number]]),"",IF(ISBLANK(OHTrans[[#This Row],[Recv Date]]),0,1))</f>
        <v>1</v>
      </c>
    </row>
    <row r="81" spans="1:17" s="62" customFormat="1" ht="15.6" x14ac:dyDescent="0.3">
      <c r="A81" s="5">
        <f>IF(ISBLANK(OHTrans[[#This Row],[OpCo2]]),"",COUNTA(OHTrans[[#This Row],[OpCo2]])-(COUNTA(OHTrans[[#This Row],[OpCo2]])-ROW(OHTrans[[#This Row],[OpCo2]])+1))</f>
        <v>80</v>
      </c>
      <c r="B81" s="5" t="s">
        <v>17</v>
      </c>
      <c r="C81" s="6" t="s">
        <v>2</v>
      </c>
      <c r="D81" s="6" t="s">
        <v>24</v>
      </c>
      <c r="E81" s="5" t="s">
        <v>55</v>
      </c>
      <c r="F81" s="76" t="s">
        <v>185</v>
      </c>
      <c r="G81" s="77" t="s">
        <v>186</v>
      </c>
      <c r="H81" s="5">
        <v>90</v>
      </c>
      <c r="I81" s="7">
        <v>45603</v>
      </c>
      <c r="J81" s="7"/>
      <c r="K81" s="22">
        <v>81408528</v>
      </c>
      <c r="L81" s="7">
        <v>45719</v>
      </c>
      <c r="M81" s="11">
        <v>621.25</v>
      </c>
      <c r="N81" s="6" t="s">
        <v>54</v>
      </c>
      <c r="O81" s="5">
        <v>78105840</v>
      </c>
      <c r="P81" s="29" t="s">
        <v>56</v>
      </c>
      <c r="Q81" s="4">
        <f>IF(ISBLANK(OHTrans[[#This Row],[PO Number]]),"",IF(ISBLANK(OHTrans[[#This Row],[Recv Date]]),0,1))</f>
        <v>1</v>
      </c>
    </row>
    <row r="82" spans="1:17" ht="15.6" x14ac:dyDescent="0.3">
      <c r="A82" s="5">
        <f>IF(ISBLANK(OHTrans[[#This Row],[OpCo2]]),"",COUNTA(OHTrans[[#This Row],[OpCo2]])-(COUNTA(OHTrans[[#This Row],[OpCo2]])-ROW(OHTrans[[#This Row],[OpCo2]])+1))</f>
        <v>81</v>
      </c>
      <c r="B82" s="5" t="s">
        <v>17</v>
      </c>
      <c r="C82" s="6" t="s">
        <v>2</v>
      </c>
      <c r="D82" s="6" t="s">
        <v>1</v>
      </c>
      <c r="E82" s="5" t="s">
        <v>40</v>
      </c>
      <c r="F82" s="18">
        <v>56458637</v>
      </c>
      <c r="G82" s="19">
        <v>56458816</v>
      </c>
      <c r="H82" s="5">
        <f>IF(AND(ISBLANK(OHTrans[[#This Row],[Beg Ser]]),ISBLANK(OHTrans[[#This Row],[End Ser]])),"",OHTrans[[#This Row],[End Ser]]-OHTrans[[#This Row],[Beg Ser]]+1)</f>
        <v>180</v>
      </c>
      <c r="I82" s="7">
        <v>45005</v>
      </c>
      <c r="J82" s="7"/>
      <c r="K82" s="22">
        <v>81151660</v>
      </c>
      <c r="L82" s="7">
        <v>45743</v>
      </c>
      <c r="M82" s="11">
        <v>95.23</v>
      </c>
      <c r="N82" s="6" t="s">
        <v>42</v>
      </c>
      <c r="O82" s="5">
        <v>50072367</v>
      </c>
      <c r="P82" s="29" t="s">
        <v>43</v>
      </c>
      <c r="Q82" s="4">
        <f>IF(ISBLANK(OHTrans[[#This Row],[PO Number]]),"",IF(ISBLANK(OHTrans[[#This Row],[Recv Date]]),0,1))</f>
        <v>1</v>
      </c>
    </row>
    <row r="83" spans="1:17" ht="15.6" x14ac:dyDescent="0.3">
      <c r="A83" s="5">
        <f>IF(ISBLANK(OHTrans[[#This Row],[OpCo2]]),"",COUNTA(OHTrans[[#This Row],[OpCo2]])-(COUNTA(OHTrans[[#This Row],[OpCo2]])-ROW(OHTrans[[#This Row],[OpCo2]])+1))</f>
        <v>82</v>
      </c>
      <c r="B83" s="5" t="s">
        <v>17</v>
      </c>
      <c r="C83" s="6" t="s">
        <v>2</v>
      </c>
      <c r="D83" s="6" t="s">
        <v>23</v>
      </c>
      <c r="E83" s="5" t="s">
        <v>51</v>
      </c>
      <c r="F83" s="18">
        <v>244219001</v>
      </c>
      <c r="G83" s="19">
        <v>244219003</v>
      </c>
      <c r="H83" s="5">
        <v>3</v>
      </c>
      <c r="I83" s="7">
        <v>45603</v>
      </c>
      <c r="J83" s="7"/>
      <c r="K83" s="22">
        <v>81408521</v>
      </c>
      <c r="L83" s="7">
        <v>45747</v>
      </c>
      <c r="M83" s="11">
        <v>4980</v>
      </c>
      <c r="N83" s="6" t="s">
        <v>50</v>
      </c>
      <c r="O83" s="5">
        <v>99115287</v>
      </c>
      <c r="P83" s="29" t="s">
        <v>51</v>
      </c>
      <c r="Q83" s="4">
        <f>IF(ISBLANK(OHTrans[[#This Row],[PO Number]]),"",IF(ISBLANK(OHTrans[[#This Row],[Recv Date]]),0,1))</f>
        <v>1</v>
      </c>
    </row>
    <row r="84" spans="1:17" ht="15.6" x14ac:dyDescent="0.3">
      <c r="A84" s="5">
        <f>IF(ISBLANK(OHTrans[[#This Row],[OpCo2]]),"",COUNTA(OHTrans[[#This Row],[OpCo2]])-(COUNTA(OHTrans[[#This Row],[OpCo2]])-ROW(OHTrans[[#This Row],[OpCo2]])+1))</f>
        <v>83</v>
      </c>
      <c r="B84" s="5" t="s">
        <v>17</v>
      </c>
      <c r="C84" s="6" t="s">
        <v>2</v>
      </c>
      <c r="D84" s="6" t="s">
        <v>23</v>
      </c>
      <c r="E84" s="5" t="s">
        <v>49</v>
      </c>
      <c r="F84" s="18">
        <v>247509001</v>
      </c>
      <c r="G84" s="19">
        <v>247509015</v>
      </c>
      <c r="H84" s="5">
        <v>15</v>
      </c>
      <c r="I84" s="7">
        <v>45603</v>
      </c>
      <c r="J84" s="7"/>
      <c r="K84" s="22">
        <v>81408522</v>
      </c>
      <c r="L84" s="7">
        <v>45747</v>
      </c>
      <c r="M84" s="11">
        <v>4598</v>
      </c>
      <c r="N84" s="6" t="s">
        <v>48</v>
      </c>
      <c r="O84" s="5">
        <v>71056044</v>
      </c>
      <c r="P84" s="29" t="s">
        <v>49</v>
      </c>
      <c r="Q84" s="4">
        <f>IF(ISBLANK(OHTrans[[#This Row],[PO Number]]),"",IF(ISBLANK(OHTrans[[#This Row],[Recv Date]]),0,1))</f>
        <v>1</v>
      </c>
    </row>
    <row r="85" spans="1:17" ht="15.6" x14ac:dyDescent="0.3">
      <c r="A85" s="5">
        <f>IF(ISBLANK(OHTrans[[#This Row],[OpCo2]]),"",COUNTA(OHTrans[[#This Row],[OpCo2]])-(COUNTA(OHTrans[[#This Row],[OpCo2]])-ROW(OHTrans[[#This Row],[OpCo2]])+1))</f>
        <v>84</v>
      </c>
      <c r="B85" s="5" t="s">
        <v>17</v>
      </c>
      <c r="C85" s="6" t="s">
        <v>2</v>
      </c>
      <c r="D85" s="6" t="s">
        <v>23</v>
      </c>
      <c r="E85" s="5" t="s">
        <v>139</v>
      </c>
      <c r="F85" s="18">
        <v>247508001</v>
      </c>
      <c r="G85" s="19">
        <v>247508015</v>
      </c>
      <c r="H85" s="5">
        <v>15</v>
      </c>
      <c r="I85" s="7">
        <v>45603</v>
      </c>
      <c r="J85" s="7"/>
      <c r="K85" s="22">
        <v>81408522</v>
      </c>
      <c r="L85" s="7">
        <v>45747</v>
      </c>
      <c r="M85" s="11">
        <v>4598</v>
      </c>
      <c r="N85" s="6" t="s">
        <v>141</v>
      </c>
      <c r="O85" s="5">
        <v>71056043</v>
      </c>
      <c r="P85" s="29" t="s">
        <v>139</v>
      </c>
      <c r="Q85" s="4">
        <f>IF(ISBLANK(OHTrans[[#This Row],[PO Number]]),"",IF(ISBLANK(OHTrans[[#This Row],[Recv Date]]),0,1))</f>
        <v>1</v>
      </c>
    </row>
    <row r="86" spans="1:17" ht="15.6" x14ac:dyDescent="0.3">
      <c r="A86" s="5">
        <f>IF(ISBLANK(OHTrans[[#This Row],[OpCo2]]),"",COUNTA(OHTrans[[#This Row],[OpCo2]])-(COUNTA(OHTrans[[#This Row],[OpCo2]])-ROW(OHTrans[[#This Row],[OpCo2]])+1))</f>
        <v>85</v>
      </c>
      <c r="B86" s="5" t="s">
        <v>17</v>
      </c>
      <c r="C86" s="6" t="s">
        <v>2</v>
      </c>
      <c r="D86" s="6" t="s">
        <v>23</v>
      </c>
      <c r="E86" s="5" t="s">
        <v>52</v>
      </c>
      <c r="F86" s="18">
        <v>247507001</v>
      </c>
      <c r="G86" s="19">
        <v>247507015</v>
      </c>
      <c r="H86" s="5">
        <v>15</v>
      </c>
      <c r="I86" s="7">
        <v>45603</v>
      </c>
      <c r="J86" s="7"/>
      <c r="K86" s="22">
        <v>81408522</v>
      </c>
      <c r="L86" s="7">
        <v>45747</v>
      </c>
      <c r="M86" s="11">
        <v>4598</v>
      </c>
      <c r="N86" s="6" t="s">
        <v>140</v>
      </c>
      <c r="O86" s="5">
        <v>71056042</v>
      </c>
      <c r="P86" s="29" t="s">
        <v>52</v>
      </c>
      <c r="Q86" s="4">
        <f>IF(ISBLANK(OHTrans[[#This Row],[PO Number]]),"",IF(ISBLANK(OHTrans[[#This Row],[Recv Date]]),0,1))</f>
        <v>1</v>
      </c>
    </row>
    <row r="87" spans="1:17" ht="15.6" x14ac:dyDescent="0.3">
      <c r="A87" s="5">
        <f>IF(ISBLANK(OHTrans[[#This Row],[OpCo2]]),"",COUNTA(OHTrans[[#This Row],[OpCo2]])-(COUNTA(OHTrans[[#This Row],[OpCo2]])-ROW(OHTrans[[#This Row],[OpCo2]])+1))</f>
        <v>86</v>
      </c>
      <c r="B87" s="5" t="s">
        <v>17</v>
      </c>
      <c r="C87" s="6" t="s">
        <v>2</v>
      </c>
      <c r="D87" s="6" t="s">
        <v>1</v>
      </c>
      <c r="E87" s="5" t="s">
        <v>97</v>
      </c>
      <c r="F87" s="18">
        <v>56474717</v>
      </c>
      <c r="G87" s="19">
        <v>56474764</v>
      </c>
      <c r="H87" s="5">
        <v>48</v>
      </c>
      <c r="I87" s="7">
        <v>45470</v>
      </c>
      <c r="J87" s="7"/>
      <c r="K87" s="22">
        <v>81358282</v>
      </c>
      <c r="L87" s="7">
        <v>45769</v>
      </c>
      <c r="M87" s="11">
        <v>130.79</v>
      </c>
      <c r="N87" s="6" t="s">
        <v>98</v>
      </c>
      <c r="O87" s="5">
        <v>50081910</v>
      </c>
      <c r="P87" s="29" t="s">
        <v>97</v>
      </c>
      <c r="Q87" s="4">
        <f>IF(ISBLANK(OHTrans[[#This Row],[PO Number]]),"",IF(ISBLANK(OHTrans[[#This Row],[Recv Date]]),0,1))</f>
        <v>1</v>
      </c>
    </row>
    <row r="88" spans="1:17" ht="15.6" x14ac:dyDescent="0.3">
      <c r="A88" s="5">
        <f>IF(ISBLANK(OHTrans[[#This Row],[OpCo2]]),"",COUNTA(OHTrans[[#This Row],[OpCo2]])-(COUNTA(OHTrans[[#This Row],[OpCo2]])-ROW(OHTrans[[#This Row],[OpCo2]])+1))</f>
        <v>87</v>
      </c>
      <c r="B88" s="5" t="s">
        <v>17</v>
      </c>
      <c r="C88" s="6" t="s">
        <v>2</v>
      </c>
      <c r="D88" s="6" t="s">
        <v>24</v>
      </c>
      <c r="E88" s="5" t="s">
        <v>55</v>
      </c>
      <c r="F88" s="18" t="s">
        <v>189</v>
      </c>
      <c r="G88" s="18" t="s">
        <v>190</v>
      </c>
      <c r="H88" s="5">
        <v>180</v>
      </c>
      <c r="I88" s="7">
        <v>45618</v>
      </c>
      <c r="J88" s="7"/>
      <c r="K88" s="22">
        <v>81414422</v>
      </c>
      <c r="L88" s="7">
        <v>45770</v>
      </c>
      <c r="M88" s="11">
        <v>621.25</v>
      </c>
      <c r="N88" s="6" t="s">
        <v>54</v>
      </c>
      <c r="O88" s="5">
        <v>78105840</v>
      </c>
      <c r="P88" s="29" t="s">
        <v>56</v>
      </c>
      <c r="Q88" s="4">
        <f>IF(ISBLANK(OHTrans[[#This Row],[PO Number]]),"",IF(ISBLANK(OHTrans[[#This Row],[Recv Date]]),0,1))</f>
        <v>1</v>
      </c>
    </row>
    <row r="89" spans="1:17" ht="15.6" x14ac:dyDescent="0.3">
      <c r="A89" s="5">
        <f>IF(ISBLANK(OHTrans[[#This Row],[OpCo2]]),"",COUNTA(OHTrans[[#This Row],[OpCo2]])-(COUNTA(OHTrans[[#This Row],[OpCo2]])-ROW(OHTrans[[#This Row],[OpCo2]])+1))</f>
        <v>88</v>
      </c>
      <c r="B89" s="5" t="s">
        <v>17</v>
      </c>
      <c r="C89" s="6" t="s">
        <v>2</v>
      </c>
      <c r="D89" s="6" t="s">
        <v>24</v>
      </c>
      <c r="E89" s="5" t="s">
        <v>163</v>
      </c>
      <c r="F89" s="18" t="s">
        <v>191</v>
      </c>
      <c r="G89" s="19" t="s">
        <v>192</v>
      </c>
      <c r="H89" s="5">
        <v>90</v>
      </c>
      <c r="I89" s="7">
        <v>45618</v>
      </c>
      <c r="J89" s="7"/>
      <c r="K89" s="22">
        <v>81414422</v>
      </c>
      <c r="L89" s="7">
        <v>45770</v>
      </c>
      <c r="M89" s="11">
        <v>485.5</v>
      </c>
      <c r="N89" s="6" t="s">
        <v>162</v>
      </c>
      <c r="O89" s="5">
        <v>50059664</v>
      </c>
      <c r="P89" s="29" t="s">
        <v>164</v>
      </c>
      <c r="Q89" s="4">
        <f>IF(ISBLANK(OHTrans[[#This Row],[PO Number]]),"",IF(ISBLANK(OHTrans[[#This Row],[Recv Date]]),0,1))</f>
        <v>1</v>
      </c>
    </row>
    <row r="90" spans="1:17" ht="15.6" x14ac:dyDescent="0.3">
      <c r="A90" s="5">
        <f>IF(ISBLANK(OHTrans[[#This Row],[OpCo2]]),"",COUNTA(OHTrans[[#This Row],[OpCo2]])-(COUNTA(OHTrans[[#This Row],[OpCo2]])-ROW(OHTrans[[#This Row],[OpCo2]])+1))</f>
        <v>89</v>
      </c>
      <c r="B90" s="5" t="s">
        <v>17</v>
      </c>
      <c r="C90" s="6" t="s">
        <v>2</v>
      </c>
      <c r="D90" s="6" t="s">
        <v>21</v>
      </c>
      <c r="E90" s="5" t="s">
        <v>193</v>
      </c>
      <c r="F90" s="18" t="s">
        <v>64</v>
      </c>
      <c r="G90" s="19" t="s">
        <v>64</v>
      </c>
      <c r="H90" s="5">
        <v>3</v>
      </c>
      <c r="I90" s="7">
        <v>45442</v>
      </c>
      <c r="J90" s="7"/>
      <c r="K90" s="22">
        <v>81346712</v>
      </c>
      <c r="L90" s="7">
        <v>45817</v>
      </c>
      <c r="M90" s="11">
        <v>2893.2</v>
      </c>
      <c r="N90" s="6" t="s">
        <v>194</v>
      </c>
      <c r="O90" s="5">
        <v>99123757</v>
      </c>
      <c r="P90" s="29" t="s">
        <v>193</v>
      </c>
      <c r="Q90" s="4">
        <f>IF(ISBLANK(OHTrans[[#This Row],[PO Number]]),"",IF(ISBLANK(OHTrans[[#This Row],[Recv Date]]),0,1))</f>
        <v>1</v>
      </c>
    </row>
    <row r="91" spans="1:17" ht="15.6" x14ac:dyDescent="0.3">
      <c r="A91" s="5">
        <f>IF(ISBLANK(OHTrans[[#This Row],[OpCo2]]),"",COUNTA(OHTrans[[#This Row],[OpCo2]])-(COUNTA(OHTrans[[#This Row],[OpCo2]])-ROW(OHTrans[[#This Row],[OpCo2]])+1))</f>
        <v>90</v>
      </c>
      <c r="B91" s="5" t="s">
        <v>17</v>
      </c>
      <c r="C91" s="6" t="s">
        <v>2</v>
      </c>
      <c r="D91" s="6" t="s">
        <v>1</v>
      </c>
      <c r="E91" s="5" t="s">
        <v>27</v>
      </c>
      <c r="F91" s="18">
        <v>56475227</v>
      </c>
      <c r="G91" s="19">
        <v>56475406</v>
      </c>
      <c r="H91" s="5">
        <v>180</v>
      </c>
      <c r="I91" s="7">
        <v>45736</v>
      </c>
      <c r="J91" s="7"/>
      <c r="K91" s="22">
        <v>81838265</v>
      </c>
      <c r="L91" s="7">
        <v>45779</v>
      </c>
      <c r="M91" s="11">
        <v>121.21</v>
      </c>
      <c r="N91" s="6" t="s">
        <v>26</v>
      </c>
      <c r="O91" s="5">
        <v>71057111</v>
      </c>
      <c r="P91" s="29" t="s">
        <v>27</v>
      </c>
      <c r="Q91" s="4">
        <f>IF(ISBLANK(OHTrans[[#This Row],[PO Number]]),"",IF(ISBLANK(OHTrans[[#This Row],[Recv Date]]),0,1))</f>
        <v>1</v>
      </c>
    </row>
    <row r="92" spans="1:17" ht="15.6" x14ac:dyDescent="0.3">
      <c r="A92" s="5">
        <f>IF(ISBLANK(OHTrans[[#This Row],[OpCo2]]),"",COUNTA(OHTrans[[#This Row],[OpCo2]])-(COUNTA(OHTrans[[#This Row],[OpCo2]])-ROW(OHTrans[[#This Row],[OpCo2]])+1))</f>
        <v>91</v>
      </c>
      <c r="B92" s="5" t="s">
        <v>17</v>
      </c>
      <c r="C92" s="6" t="s">
        <v>2</v>
      </c>
      <c r="D92" s="6" t="s">
        <v>21</v>
      </c>
      <c r="E92" s="5" t="s">
        <v>60</v>
      </c>
      <c r="F92" s="18" t="s">
        <v>64</v>
      </c>
      <c r="G92" s="19" t="s">
        <v>64</v>
      </c>
      <c r="H92" s="5">
        <v>3</v>
      </c>
      <c r="I92" s="7">
        <v>45442</v>
      </c>
      <c r="J92" s="7"/>
      <c r="K92" s="22">
        <v>81346712</v>
      </c>
      <c r="L92" s="7">
        <v>45779</v>
      </c>
      <c r="M92" s="11">
        <v>2586.7600000000002</v>
      </c>
      <c r="N92" s="6" t="s">
        <v>59</v>
      </c>
      <c r="O92" s="5">
        <v>71056315</v>
      </c>
      <c r="P92" s="29" t="s">
        <v>60</v>
      </c>
      <c r="Q92" s="4">
        <f>IF(ISBLANK(OHTrans[[#This Row],[PO Number]]),"",IF(ISBLANK(OHTrans[[#This Row],[Recv Date]]),0,1))</f>
        <v>1</v>
      </c>
    </row>
    <row r="93" spans="1:17" ht="15.6" x14ac:dyDescent="0.3">
      <c r="A93" s="5">
        <f>IF(ISBLANK(OHTrans[[#This Row],[OpCo2]]),"",COUNTA(OHTrans[[#This Row],[OpCo2]])-(COUNTA(OHTrans[[#This Row],[OpCo2]])-ROW(OHTrans[[#This Row],[OpCo2]])+1))</f>
        <v>92</v>
      </c>
      <c r="B93" s="5" t="s">
        <v>17</v>
      </c>
      <c r="C93" s="6" t="s">
        <v>2</v>
      </c>
      <c r="D93" s="6" t="s">
        <v>21</v>
      </c>
      <c r="E93" s="5" t="s">
        <v>91</v>
      </c>
      <c r="F93" s="18" t="s">
        <v>64</v>
      </c>
      <c r="G93" s="19" t="s">
        <v>64</v>
      </c>
      <c r="H93" s="5">
        <v>3</v>
      </c>
      <c r="I93" s="80">
        <v>45239</v>
      </c>
      <c r="J93" s="80"/>
      <c r="K93" s="22">
        <v>81248637</v>
      </c>
      <c r="L93" s="7">
        <v>45782</v>
      </c>
      <c r="M93" s="11">
        <v>1872</v>
      </c>
      <c r="N93" s="6" t="s">
        <v>105</v>
      </c>
      <c r="O93" s="5">
        <v>99120450</v>
      </c>
      <c r="P93" s="29" t="s">
        <v>92</v>
      </c>
      <c r="Q93" s="4">
        <f>IF(ISBLANK(OHTrans[[#This Row],[PO Number]]),"",IF(ISBLANK(OHTrans[[#This Row],[Recv Date]]),0,1))</f>
        <v>1</v>
      </c>
    </row>
    <row r="94" spans="1:17" ht="15.6" x14ac:dyDescent="0.3">
      <c r="A94" s="5">
        <f>IF(ISBLANK(OHTrans[[#This Row],[OpCo2]]),"",COUNTA(OHTrans[[#This Row],[OpCo2]])-(COUNTA(OHTrans[[#This Row],[OpCo2]])-ROW(OHTrans[[#This Row],[OpCo2]])+1))</f>
        <v>93</v>
      </c>
      <c r="B94" s="5" t="s">
        <v>17</v>
      </c>
      <c r="C94" s="6" t="s">
        <v>2</v>
      </c>
      <c r="D94" s="6" t="s">
        <v>1</v>
      </c>
      <c r="E94" s="5" t="s">
        <v>32</v>
      </c>
      <c r="F94" s="18">
        <v>56492365</v>
      </c>
      <c r="G94" s="19">
        <v>56492544</v>
      </c>
      <c r="H94" s="5">
        <v>180</v>
      </c>
      <c r="I94" s="7">
        <v>45736</v>
      </c>
      <c r="J94" s="7"/>
      <c r="K94" s="22">
        <v>81838265</v>
      </c>
      <c r="L94" s="7">
        <v>45789</v>
      </c>
      <c r="M94" s="11">
        <v>121.21</v>
      </c>
      <c r="N94" s="6" t="s">
        <v>31</v>
      </c>
      <c r="O94" s="5">
        <v>71059876</v>
      </c>
      <c r="P94" s="29" t="s">
        <v>196</v>
      </c>
      <c r="Q94" s="4">
        <f>IF(ISBLANK(OHTrans[[#This Row],[PO Number]]),"",IF(ISBLANK(OHTrans[[#This Row],[Recv Date]]),0,1))</f>
        <v>1</v>
      </c>
    </row>
    <row r="95" spans="1:17" ht="15.6" x14ac:dyDescent="0.3">
      <c r="A95" s="5">
        <f>IF(ISBLANK(OHTrans[[#This Row],[OpCo2]]),"",COUNTA(OHTrans[[#This Row],[OpCo2]])-(COUNTA(OHTrans[[#This Row],[OpCo2]])-ROW(OHTrans[[#This Row],[OpCo2]])+1))</f>
        <v>94</v>
      </c>
      <c r="B95" s="5" t="s">
        <v>17</v>
      </c>
      <c r="C95" s="6" t="s">
        <v>2</v>
      </c>
      <c r="D95" s="6" t="s">
        <v>21</v>
      </c>
      <c r="E95" s="5" t="s">
        <v>193</v>
      </c>
      <c r="F95" s="18" t="s">
        <v>64</v>
      </c>
      <c r="G95" s="19" t="s">
        <v>64</v>
      </c>
      <c r="H95" s="5">
        <v>2</v>
      </c>
      <c r="I95" s="7">
        <v>45442</v>
      </c>
      <c r="J95" s="7"/>
      <c r="K95" s="22">
        <v>81346712</v>
      </c>
      <c r="L95" s="7">
        <v>45817</v>
      </c>
      <c r="M95" s="11">
        <v>2893.2</v>
      </c>
      <c r="N95" s="6" t="s">
        <v>194</v>
      </c>
      <c r="O95" s="5">
        <v>99123757</v>
      </c>
      <c r="P95" s="29" t="s">
        <v>193</v>
      </c>
      <c r="Q95" s="4">
        <f>IF(ISBLANK(OHTrans[[#This Row],[PO Number]]),"",IF(ISBLANK(OHTrans[[#This Row],[Recv Date]]),0,1))</f>
        <v>1</v>
      </c>
    </row>
    <row r="96" spans="1:17" ht="15.6" x14ac:dyDescent="0.3">
      <c r="A96" s="5">
        <f>IF(ISBLANK(OHTrans[[#This Row],[OpCo2]]),"",COUNTA(OHTrans[[#This Row],[OpCo2]])-(COUNTA(OHTrans[[#This Row],[OpCo2]])-ROW(OHTrans[[#This Row],[OpCo2]])+1))</f>
        <v>95</v>
      </c>
      <c r="B96" s="5" t="s">
        <v>17</v>
      </c>
      <c r="C96" s="6" t="s">
        <v>2</v>
      </c>
      <c r="D96" s="6" t="s">
        <v>21</v>
      </c>
      <c r="E96" s="5" t="s">
        <v>60</v>
      </c>
      <c r="F96" s="18" t="s">
        <v>64</v>
      </c>
      <c r="G96" s="19" t="s">
        <v>64</v>
      </c>
      <c r="H96" s="5">
        <v>2</v>
      </c>
      <c r="I96" s="7">
        <v>45442</v>
      </c>
      <c r="J96" s="7"/>
      <c r="K96" s="22">
        <v>81346712</v>
      </c>
      <c r="L96" s="7">
        <v>45817</v>
      </c>
      <c r="M96" s="11">
        <v>2586.7600000000002</v>
      </c>
      <c r="N96" s="6" t="s">
        <v>59</v>
      </c>
      <c r="O96" s="5">
        <v>71056315</v>
      </c>
      <c r="P96" s="29" t="s">
        <v>60</v>
      </c>
      <c r="Q96" s="4">
        <f>IF(ISBLANK(OHTrans[[#This Row],[PO Number]]),"",IF(ISBLANK(OHTrans[[#This Row],[Recv Date]]),0,1))</f>
        <v>1</v>
      </c>
    </row>
    <row r="97" spans="1:17" ht="15.6" x14ac:dyDescent="0.3">
      <c r="A97" s="5">
        <f>IF(ISBLANK(OHTrans[[#This Row],[OpCo2]]),"",COUNTA(OHTrans[[#This Row],[OpCo2]])-(COUNTA(OHTrans[[#This Row],[OpCo2]])-ROW(OHTrans[[#This Row],[OpCo2]])+1))</f>
        <v>96</v>
      </c>
      <c r="B97" s="5" t="s">
        <v>17</v>
      </c>
      <c r="C97" s="6" t="s">
        <v>2</v>
      </c>
      <c r="D97" s="6" t="s">
        <v>21</v>
      </c>
      <c r="E97" s="5" t="s">
        <v>193</v>
      </c>
      <c r="F97" s="18" t="s">
        <v>64</v>
      </c>
      <c r="G97" s="19" t="s">
        <v>64</v>
      </c>
      <c r="H97" s="5">
        <v>1</v>
      </c>
      <c r="I97" s="7">
        <v>45442</v>
      </c>
      <c r="J97" s="7"/>
      <c r="K97" s="22">
        <v>81346712</v>
      </c>
      <c r="L97" s="7">
        <v>45817</v>
      </c>
      <c r="M97" s="11">
        <v>2893.2</v>
      </c>
      <c r="N97" s="6" t="s">
        <v>194</v>
      </c>
      <c r="O97" s="5">
        <v>99123757</v>
      </c>
      <c r="P97" s="29" t="s">
        <v>193</v>
      </c>
      <c r="Q97" s="4">
        <f>IF(ISBLANK(OHTrans[[#This Row],[PO Number]]),"",IF(ISBLANK(OHTrans[[#This Row],[Recv Date]]),0,1))</f>
        <v>1</v>
      </c>
    </row>
    <row r="98" spans="1:17" ht="15.6" x14ac:dyDescent="0.3">
      <c r="A98" s="5">
        <f>IF(ISBLANK(OHTrans[[#This Row],[OpCo2]]),"",COUNTA(OHTrans[[#This Row],[OpCo2]])-(COUNTA(OHTrans[[#This Row],[OpCo2]])-ROW(OHTrans[[#This Row],[OpCo2]])+1))</f>
        <v>97</v>
      </c>
      <c r="B98" s="5" t="s">
        <v>17</v>
      </c>
      <c r="C98" s="6" t="s">
        <v>2</v>
      </c>
      <c r="D98" s="6" t="s">
        <v>21</v>
      </c>
      <c r="E98" s="5" t="s">
        <v>91</v>
      </c>
      <c r="F98" s="18">
        <v>52406172</v>
      </c>
      <c r="G98" s="19">
        <v>52406174</v>
      </c>
      <c r="H98" s="5">
        <v>3</v>
      </c>
      <c r="I98" s="80">
        <v>45239</v>
      </c>
      <c r="J98" s="80"/>
      <c r="K98" s="22">
        <v>81248637</v>
      </c>
      <c r="L98" s="7">
        <v>45821</v>
      </c>
      <c r="M98" s="11">
        <v>1872</v>
      </c>
      <c r="N98" s="6" t="s">
        <v>105</v>
      </c>
      <c r="O98" s="5">
        <v>99120450</v>
      </c>
      <c r="P98" s="29" t="s">
        <v>92</v>
      </c>
      <c r="Q98" s="4">
        <f>IF(ISBLANK(OHTrans[[#This Row],[PO Number]]),"",IF(ISBLANK(OHTrans[[#This Row],[Recv Date]]),0,1))</f>
        <v>1</v>
      </c>
    </row>
    <row r="99" spans="1:17" ht="15.6" x14ac:dyDescent="0.3">
      <c r="A99" s="5">
        <f>IF(ISBLANK(OHTrans[[#This Row],[OpCo2]]),"",COUNTA(OHTrans[[#This Row],[OpCo2]])-(COUNTA(OHTrans[[#This Row],[OpCo2]])-ROW(OHTrans[[#This Row],[OpCo2]])+1))</f>
        <v>98</v>
      </c>
      <c r="B99" s="5" t="s">
        <v>17</v>
      </c>
      <c r="C99" s="6" t="s">
        <v>2</v>
      </c>
      <c r="D99" s="6" t="s">
        <v>1</v>
      </c>
      <c r="E99" s="5" t="s">
        <v>34</v>
      </c>
      <c r="F99" s="18">
        <v>56480890</v>
      </c>
      <c r="G99" s="19">
        <v>56481069</v>
      </c>
      <c r="H99" s="5">
        <v>180</v>
      </c>
      <c r="I99" s="7">
        <v>45736</v>
      </c>
      <c r="J99" s="7"/>
      <c r="K99" s="22">
        <v>81838265</v>
      </c>
      <c r="L99" s="7">
        <v>45824</v>
      </c>
      <c r="M99" s="11">
        <v>103.65</v>
      </c>
      <c r="N99" s="6" t="s">
        <v>33</v>
      </c>
      <c r="O99" s="5">
        <v>50070360</v>
      </c>
      <c r="P99" s="29" t="s">
        <v>34</v>
      </c>
      <c r="Q99" s="4">
        <f>IF(ISBLANK(OHTrans[[#This Row],[PO Number]]),"",IF(ISBLANK(OHTrans[[#This Row],[Recv Date]]),0,1))</f>
        <v>1</v>
      </c>
    </row>
    <row r="100" spans="1:17" ht="15.6" x14ac:dyDescent="0.3">
      <c r="A100" s="5">
        <f>IF(ISBLANK(OHTrans[[#This Row],[OpCo2]]),"",COUNTA(OHTrans[[#This Row],[OpCo2]])-(COUNTA(OHTrans[[#This Row],[OpCo2]])-ROW(OHTrans[[#This Row],[OpCo2]])+1))</f>
        <v>99</v>
      </c>
      <c r="B100" s="5" t="s">
        <v>17</v>
      </c>
      <c r="C100" s="6" t="s">
        <v>2</v>
      </c>
      <c r="D100" s="6" t="s">
        <v>23</v>
      </c>
      <c r="E100" s="5" t="s">
        <v>139</v>
      </c>
      <c r="F100" s="18">
        <v>251884001</v>
      </c>
      <c r="G100" s="19">
        <v>251884015</v>
      </c>
      <c r="H100" s="5">
        <v>15</v>
      </c>
      <c r="I100" s="7">
        <v>45702</v>
      </c>
      <c r="J100" s="7"/>
      <c r="K100" s="22">
        <v>81792576</v>
      </c>
      <c r="L100" s="7">
        <v>45824</v>
      </c>
      <c r="M100" s="11">
        <v>4598</v>
      </c>
      <c r="N100" s="6" t="s">
        <v>141</v>
      </c>
      <c r="O100" s="5">
        <v>71056043</v>
      </c>
      <c r="P100" s="29" t="s">
        <v>139</v>
      </c>
      <c r="Q100" s="4">
        <f>IF(ISBLANK(OHTrans[[#This Row],[PO Number]]),"",IF(ISBLANK(OHTrans[[#This Row],[Recv Date]]),0,1))</f>
        <v>1</v>
      </c>
    </row>
    <row r="101" spans="1:17" ht="15.6" x14ac:dyDescent="0.3">
      <c r="A101" s="5">
        <f>IF(ISBLANK(OHTrans[[#This Row],[OpCo2]]),"",COUNTA(OHTrans[[#This Row],[OpCo2]])-(COUNTA(OHTrans[[#This Row],[OpCo2]])-ROW(OHTrans[[#This Row],[OpCo2]])+1))</f>
        <v>100</v>
      </c>
      <c r="B101" s="5" t="s">
        <v>17</v>
      </c>
      <c r="C101" s="6" t="s">
        <v>2</v>
      </c>
      <c r="D101" s="6" t="s">
        <v>23</v>
      </c>
      <c r="E101" s="5" t="s">
        <v>52</v>
      </c>
      <c r="F101" s="18">
        <v>251883001</v>
      </c>
      <c r="G101" s="19">
        <v>251883015</v>
      </c>
      <c r="H101" s="5">
        <v>15</v>
      </c>
      <c r="I101" s="7">
        <v>45702</v>
      </c>
      <c r="J101" s="7"/>
      <c r="K101" s="22">
        <v>81792576</v>
      </c>
      <c r="L101" s="7">
        <v>45824</v>
      </c>
      <c r="M101" s="11">
        <v>4598</v>
      </c>
      <c r="N101" s="6" t="s">
        <v>140</v>
      </c>
      <c r="O101" s="5">
        <v>71056042</v>
      </c>
      <c r="P101" s="29" t="s">
        <v>52</v>
      </c>
      <c r="Q101" s="4">
        <f>IF(ISBLANK(OHTrans[[#This Row],[PO Number]]),"",IF(ISBLANK(OHTrans[[#This Row],[Recv Date]]),0,1))</f>
        <v>1</v>
      </c>
    </row>
    <row r="102" spans="1:17" ht="15.6" x14ac:dyDescent="0.3">
      <c r="A102" s="5">
        <f>IF(ISBLANK(OHTrans[[#This Row],[OpCo2]]),"",COUNTA(OHTrans[[#This Row],[OpCo2]])-(COUNTA(OHTrans[[#This Row],[OpCo2]])-ROW(OHTrans[[#This Row],[OpCo2]])+1))</f>
        <v>101</v>
      </c>
      <c r="B102" s="5" t="s">
        <v>17</v>
      </c>
      <c r="C102" s="6" t="s">
        <v>2</v>
      </c>
      <c r="D102" s="6" t="s">
        <v>23</v>
      </c>
      <c r="E102" s="5" t="s">
        <v>49</v>
      </c>
      <c r="F102" s="81" t="s">
        <v>199</v>
      </c>
      <c r="G102" s="21">
        <v>251885009</v>
      </c>
      <c r="H102" s="5">
        <v>9</v>
      </c>
      <c r="I102" s="7">
        <v>45702</v>
      </c>
      <c r="J102" s="7"/>
      <c r="K102" s="22">
        <v>81792576</v>
      </c>
      <c r="L102" s="7">
        <v>45824</v>
      </c>
      <c r="M102" s="11">
        <v>4598</v>
      </c>
      <c r="N102" s="6" t="s">
        <v>48</v>
      </c>
      <c r="O102" s="5">
        <v>71056044</v>
      </c>
      <c r="P102" s="29" t="s">
        <v>49</v>
      </c>
      <c r="Q102" s="4">
        <f>IF(ISBLANK(OHTrans[[#This Row],[PO Number]]),"",IF(ISBLANK(OHTrans[[#This Row],[Recv Date]]),0,1))</f>
        <v>1</v>
      </c>
    </row>
    <row r="103" spans="1:17" ht="15.6" x14ac:dyDescent="0.3">
      <c r="A103" s="5">
        <f>IF(ISBLANK(OHTrans[[#This Row],[OpCo2]]),"",COUNTA(OHTrans[[#This Row],[OpCo2]])-(COUNTA(OHTrans[[#This Row],[OpCo2]])-ROW(OHTrans[[#This Row],[OpCo2]])+1))</f>
        <v>102</v>
      </c>
      <c r="B103" s="5" t="s">
        <v>17</v>
      </c>
      <c r="C103" s="6" t="s">
        <v>2</v>
      </c>
      <c r="D103" s="6" t="s">
        <v>23</v>
      </c>
      <c r="E103" s="5" t="s">
        <v>58</v>
      </c>
      <c r="F103" s="23">
        <v>254279001</v>
      </c>
      <c r="G103" s="24">
        <v>254279015</v>
      </c>
      <c r="H103" s="5">
        <v>15</v>
      </c>
      <c r="I103" s="7">
        <v>45748</v>
      </c>
      <c r="J103" s="7"/>
      <c r="K103" s="22">
        <v>81823381</v>
      </c>
      <c r="L103" s="7">
        <v>45824</v>
      </c>
      <c r="M103" s="11">
        <v>1472</v>
      </c>
      <c r="N103" s="6" t="s">
        <v>101</v>
      </c>
      <c r="O103" s="5">
        <v>71059898</v>
      </c>
      <c r="P103" s="29" t="s">
        <v>58</v>
      </c>
      <c r="Q103" s="5">
        <f>IF(ISBLANK(OHTrans[[#This Row],[PO Number]]),"",IF(ISBLANK(OHTrans[[#This Row],[Recv Date]]),0,1))</f>
        <v>1</v>
      </c>
    </row>
    <row r="104" spans="1:17" ht="15.6" x14ac:dyDescent="0.3">
      <c r="A104" s="5">
        <f>IF(ISBLANK(OHTrans[[#This Row],[OpCo2]]),"",COUNTA(OHTrans[[#This Row],[OpCo2]])-(COUNTA(OHTrans[[#This Row],[OpCo2]])-ROW(OHTrans[[#This Row],[OpCo2]])+1))</f>
        <v>103</v>
      </c>
      <c r="B104" s="5" t="s">
        <v>17</v>
      </c>
      <c r="C104" s="6" t="s">
        <v>2</v>
      </c>
      <c r="D104" s="6" t="s">
        <v>21</v>
      </c>
      <c r="E104" s="5" t="s">
        <v>91</v>
      </c>
      <c r="F104" s="23">
        <v>52406082</v>
      </c>
      <c r="G104" s="24">
        <v>52406084</v>
      </c>
      <c r="H104" s="5">
        <v>3</v>
      </c>
      <c r="I104" s="80">
        <v>45239</v>
      </c>
      <c r="J104" s="80"/>
      <c r="K104" s="22">
        <v>81248637</v>
      </c>
      <c r="L104" s="7">
        <v>45833</v>
      </c>
      <c r="M104" s="11">
        <v>1872</v>
      </c>
      <c r="N104" s="6" t="s">
        <v>105</v>
      </c>
      <c r="O104" s="5">
        <v>99120450</v>
      </c>
      <c r="P104" s="29" t="s">
        <v>92</v>
      </c>
      <c r="Q104" s="5">
        <f>IF(ISBLANK(OHTrans[[#This Row],[PO Number]]),"",IF(ISBLANK(OHTrans[[#This Row],[Recv Date]]),0,1))</f>
        <v>1</v>
      </c>
    </row>
    <row r="105" spans="1:17" ht="15.6" x14ac:dyDescent="0.3">
      <c r="A105" s="5">
        <f>IF(ISBLANK(OHTrans[[#This Row],[OpCo2]]),"",COUNTA(OHTrans[[#This Row],[OpCo2]])-(COUNTA(OHTrans[[#This Row],[OpCo2]])-ROW(OHTrans[[#This Row],[OpCo2]])+1))</f>
        <v>104</v>
      </c>
      <c r="B105" s="5" t="s">
        <v>17</v>
      </c>
      <c r="C105" s="6" t="s">
        <v>2</v>
      </c>
      <c r="D105" s="6" t="s">
        <v>21</v>
      </c>
      <c r="E105" s="5" t="s">
        <v>60</v>
      </c>
      <c r="F105" s="23" t="s">
        <v>64</v>
      </c>
      <c r="G105" s="24">
        <v>212517033</v>
      </c>
      <c r="H105" s="5">
        <v>1</v>
      </c>
      <c r="I105" s="7">
        <v>45442</v>
      </c>
      <c r="J105" s="7"/>
      <c r="K105" s="22">
        <v>81346712</v>
      </c>
      <c r="L105" s="7">
        <v>45835</v>
      </c>
      <c r="M105" s="11">
        <v>2586.7600000000002</v>
      </c>
      <c r="N105" s="6" t="s">
        <v>59</v>
      </c>
      <c r="O105" s="5">
        <v>71056315</v>
      </c>
      <c r="P105" s="29" t="s">
        <v>60</v>
      </c>
      <c r="Q105" s="5">
        <f>IF(ISBLANK(OHTrans[[#This Row],[PO Number]]),"",IF(ISBLANK(OHTrans[[#This Row],[Recv Date]]),0,1))</f>
        <v>1</v>
      </c>
    </row>
    <row r="106" spans="1:17" ht="15.6" x14ac:dyDescent="0.3">
      <c r="A106" s="5">
        <f>IF(ISBLANK(OHTrans[[#This Row],[OpCo2]]),"",COUNTA(OHTrans[[#This Row],[OpCo2]])-(COUNTA(OHTrans[[#This Row],[OpCo2]])-ROW(OHTrans[[#This Row],[OpCo2]])+1))</f>
        <v>105</v>
      </c>
      <c r="B106" s="5" t="s">
        <v>17</v>
      </c>
      <c r="C106" s="6" t="s">
        <v>2</v>
      </c>
      <c r="D106" s="6" t="s">
        <v>21</v>
      </c>
      <c r="E106" s="5" t="s">
        <v>60</v>
      </c>
      <c r="F106" s="23">
        <v>212517025</v>
      </c>
      <c r="G106" s="24">
        <v>212517026</v>
      </c>
      <c r="H106" s="5">
        <v>2</v>
      </c>
      <c r="I106" s="7">
        <v>45442</v>
      </c>
      <c r="J106" s="7"/>
      <c r="K106" s="22">
        <v>81346712</v>
      </c>
      <c r="L106" s="7">
        <v>45835</v>
      </c>
      <c r="M106" s="11">
        <v>2586.7600000000002</v>
      </c>
      <c r="N106" s="6" t="s">
        <v>59</v>
      </c>
      <c r="O106" s="5">
        <v>71056315</v>
      </c>
      <c r="P106" s="29" t="s">
        <v>60</v>
      </c>
      <c r="Q106" s="5">
        <f>IF(ISBLANK(OHTrans[[#This Row],[PO Number]]),"",IF(ISBLANK(OHTrans[[#This Row],[Recv Date]]),0,1))</f>
        <v>1</v>
      </c>
    </row>
    <row r="107" spans="1:17" ht="15.6" x14ac:dyDescent="0.3">
      <c r="A107" s="5">
        <f>IF(ISBLANK(OHTrans[[#This Row],[OpCo2]]),"",COUNTA(OHTrans[[#This Row],[OpCo2]])-(COUNTA(OHTrans[[#This Row],[OpCo2]])-ROW(OHTrans[[#This Row],[OpCo2]])+1))</f>
        <v>106</v>
      </c>
      <c r="B107" s="5" t="s">
        <v>17</v>
      </c>
      <c r="C107" s="6" t="s">
        <v>2</v>
      </c>
      <c r="D107" s="6" t="s">
        <v>23</v>
      </c>
      <c r="E107" s="5" t="s">
        <v>52</v>
      </c>
      <c r="F107" s="23">
        <v>250915001</v>
      </c>
      <c r="G107" s="24">
        <v>250915015</v>
      </c>
      <c r="H107" s="5">
        <v>15</v>
      </c>
      <c r="I107" s="7">
        <v>45783</v>
      </c>
      <c r="J107" s="7"/>
      <c r="K107" s="22">
        <v>81880695</v>
      </c>
      <c r="L107" s="7">
        <v>45859</v>
      </c>
      <c r="M107" s="11">
        <v>4598</v>
      </c>
      <c r="N107" s="6" t="s">
        <v>140</v>
      </c>
      <c r="O107" s="5">
        <v>71056042</v>
      </c>
      <c r="P107" s="29" t="s">
        <v>52</v>
      </c>
      <c r="Q107" s="5">
        <f>IF(ISBLANK(OHTrans[[#This Row],[PO Number]]),"",IF(ISBLANK(OHTrans[[#This Row],[Recv Date]]),0,1))</f>
        <v>1</v>
      </c>
    </row>
    <row r="108" spans="1:17" ht="15.6" x14ac:dyDescent="0.3">
      <c r="A108" s="5">
        <f>IF(ISBLANK(OHTrans[[#This Row],[OpCo2]]),"",COUNTA(OHTrans[[#This Row],[OpCo2]])-(COUNTA(OHTrans[[#This Row],[OpCo2]])-ROW(OHTrans[[#This Row],[OpCo2]])+1))</f>
        <v>107</v>
      </c>
      <c r="B108" s="5" t="s">
        <v>17</v>
      </c>
      <c r="C108" s="6" t="s">
        <v>2</v>
      </c>
      <c r="D108" s="6" t="s">
        <v>1</v>
      </c>
      <c r="E108" s="5" t="s">
        <v>203</v>
      </c>
      <c r="F108" s="23">
        <v>56519213</v>
      </c>
      <c r="G108" s="24">
        <v>56519214</v>
      </c>
      <c r="H108" s="5">
        <v>2</v>
      </c>
      <c r="I108" s="7">
        <v>45461</v>
      </c>
      <c r="J108" s="7"/>
      <c r="K108" s="22">
        <v>81354224</v>
      </c>
      <c r="L108" s="7">
        <v>45873</v>
      </c>
      <c r="M108" s="11">
        <v>1407.69</v>
      </c>
      <c r="N108" s="6" t="s">
        <v>64</v>
      </c>
      <c r="O108" s="5" t="s">
        <v>64</v>
      </c>
      <c r="P108" s="29" t="s">
        <v>204</v>
      </c>
      <c r="Q108" s="5">
        <f>IF(ISBLANK(OHTrans[[#This Row],[PO Number]]),"",IF(ISBLANK(OHTrans[[#This Row],[Recv Date]]),0,1))</f>
        <v>1</v>
      </c>
    </row>
    <row r="109" spans="1:17" ht="15.6" x14ac:dyDescent="0.3">
      <c r="A109" s="5">
        <f>IF(ISBLANK(OHTrans[[#This Row],[OpCo2]]),"",COUNTA(OHTrans[[#This Row],[OpCo2]])-(COUNTA(OHTrans[[#This Row],[OpCo2]])-ROW(OHTrans[[#This Row],[OpCo2]])+1))</f>
        <v>108</v>
      </c>
      <c r="B109" s="5" t="s">
        <v>17</v>
      </c>
      <c r="C109" s="6" t="s">
        <v>2</v>
      </c>
      <c r="D109" s="6" t="s">
        <v>1</v>
      </c>
      <c r="E109" s="5" t="s">
        <v>203</v>
      </c>
      <c r="F109" s="23" t="s">
        <v>64</v>
      </c>
      <c r="G109" s="24">
        <v>56519215</v>
      </c>
      <c r="H109" s="5">
        <v>1</v>
      </c>
      <c r="I109" s="7">
        <v>45461</v>
      </c>
      <c r="J109" s="7"/>
      <c r="K109" s="22">
        <v>81354224</v>
      </c>
      <c r="L109" s="7">
        <v>45873</v>
      </c>
      <c r="M109" s="11">
        <v>1407.69</v>
      </c>
      <c r="N109" s="6" t="s">
        <v>64</v>
      </c>
      <c r="O109" s="5" t="s">
        <v>64</v>
      </c>
      <c r="P109" s="29" t="s">
        <v>204</v>
      </c>
      <c r="Q109" s="5">
        <f>IF(ISBLANK(OHTrans[[#This Row],[PO Number]]),"",IF(ISBLANK(OHTrans[[#This Row],[Recv Date]]),0,1))</f>
        <v>1</v>
      </c>
    </row>
    <row r="110" spans="1:17" ht="15.6" x14ac:dyDescent="0.3">
      <c r="A110" s="5">
        <f>IF(ISBLANK(OHTrans[[#This Row],[OpCo2]]),"",COUNTA(OHTrans[[#This Row],[OpCo2]])-(COUNTA(OHTrans[[#This Row],[OpCo2]])-ROW(OHTrans[[#This Row],[OpCo2]])+1))</f>
        <v>109</v>
      </c>
      <c r="B110" s="5" t="s">
        <v>17</v>
      </c>
      <c r="C110" s="6" t="s">
        <v>2</v>
      </c>
      <c r="D110" s="6" t="s">
        <v>1</v>
      </c>
      <c r="E110" s="5" t="s">
        <v>203</v>
      </c>
      <c r="F110" s="23" t="s">
        <v>64</v>
      </c>
      <c r="G110" s="24">
        <v>56519216</v>
      </c>
      <c r="H110" s="5">
        <v>1</v>
      </c>
      <c r="I110" s="7">
        <v>45461</v>
      </c>
      <c r="J110" s="7"/>
      <c r="K110" s="22">
        <v>81354224</v>
      </c>
      <c r="L110" s="7">
        <v>45883</v>
      </c>
      <c r="M110" s="11">
        <v>1407.69</v>
      </c>
      <c r="N110" s="6" t="s">
        <v>64</v>
      </c>
      <c r="O110" s="5" t="s">
        <v>64</v>
      </c>
      <c r="P110" s="29" t="s">
        <v>204</v>
      </c>
      <c r="Q110" s="5">
        <f>IF(ISBLANK(OHTrans[[#This Row],[PO Number]]),"",IF(ISBLANK(OHTrans[[#This Row],[Recv Date]]),0,1))</f>
        <v>1</v>
      </c>
    </row>
    <row r="111" spans="1:17" ht="15.6" x14ac:dyDescent="0.3">
      <c r="A111" s="5">
        <f>IF(ISBLANK(OHTrans[[#This Row],[OpCo2]]),"",COUNTA(OHTrans[[#This Row],[OpCo2]])-(COUNTA(OHTrans[[#This Row],[OpCo2]])-ROW(OHTrans[[#This Row],[OpCo2]])+1))</f>
        <v>110</v>
      </c>
      <c r="B111" s="5" t="s">
        <v>17</v>
      </c>
      <c r="C111" s="6" t="s">
        <v>2</v>
      </c>
      <c r="D111" s="6" t="s">
        <v>24</v>
      </c>
      <c r="E111" s="5" t="s">
        <v>55</v>
      </c>
      <c r="F111" s="23" t="s">
        <v>207</v>
      </c>
      <c r="G111" s="24" t="s">
        <v>208</v>
      </c>
      <c r="H111" s="5">
        <v>180</v>
      </c>
      <c r="I111" s="7">
        <v>45783</v>
      </c>
      <c r="J111" s="7"/>
      <c r="K111" s="22">
        <v>81880701</v>
      </c>
      <c r="L111" s="7">
        <v>45918</v>
      </c>
      <c r="M111" s="11">
        <v>621.25</v>
      </c>
      <c r="N111" s="6" t="s">
        <v>54</v>
      </c>
      <c r="O111" s="5">
        <v>78105840</v>
      </c>
      <c r="P111" s="29" t="s">
        <v>56</v>
      </c>
      <c r="Q111" s="5">
        <f>IF(ISBLANK(OHTrans[[#This Row],[PO Number]]),"",IF(ISBLANK(OHTrans[[#This Row],[Recv Date]]),0,1))</f>
        <v>1</v>
      </c>
    </row>
    <row r="112" spans="1:17" ht="15.6" x14ac:dyDescent="0.3">
      <c r="A112" s="5">
        <f>IF(ISBLANK(OHTrans[[#This Row],[OpCo2]]),"",COUNTA(OHTrans[[#This Row],[OpCo2]])-(COUNTA(OHTrans[[#This Row],[OpCo2]])-ROW(OHTrans[[#This Row],[OpCo2]])+1))</f>
        <v>111</v>
      </c>
      <c r="B112" s="5" t="s">
        <v>17</v>
      </c>
      <c r="C112" s="6" t="s">
        <v>2</v>
      </c>
      <c r="D112" s="6" t="s">
        <v>2</v>
      </c>
      <c r="E112" s="5" t="s">
        <v>32</v>
      </c>
      <c r="F112" s="23">
        <v>56574695</v>
      </c>
      <c r="G112" s="24">
        <v>56574814</v>
      </c>
      <c r="H112" s="5">
        <v>120</v>
      </c>
      <c r="I112" s="7">
        <v>45887</v>
      </c>
      <c r="J112" s="7"/>
      <c r="K112" s="22">
        <v>81972301</v>
      </c>
      <c r="L112" s="7">
        <v>45929</v>
      </c>
      <c r="M112" s="11">
        <v>122.57</v>
      </c>
      <c r="N112" s="6" t="s">
        <v>31</v>
      </c>
      <c r="O112" s="5">
        <v>71059876</v>
      </c>
      <c r="P112" s="29" t="s">
        <v>32</v>
      </c>
      <c r="Q112" s="5">
        <f>IF(ISBLANK(OHTrans[[#This Row],[PO Number]]),"",IF(ISBLANK(OHTrans[[#This Row],[Recv Date]]),0,1))</f>
        <v>1</v>
      </c>
    </row>
    <row r="113" spans="1:17" ht="15.6" x14ac:dyDescent="0.3">
      <c r="A113" s="5">
        <f>IF(ISBLANK(OHTrans[[#This Row],[OpCo2]]),"",COUNTA(OHTrans[[#This Row],[OpCo2]])-(COUNTA(OHTrans[[#This Row],[OpCo2]])-ROW(OHTrans[[#This Row],[OpCo2]])+1))</f>
        <v>112</v>
      </c>
      <c r="B113" s="5" t="s">
        <v>17</v>
      </c>
      <c r="C113" s="6" t="s">
        <v>2</v>
      </c>
      <c r="D113" s="6" t="s">
        <v>1</v>
      </c>
      <c r="E113" s="5" t="s">
        <v>34</v>
      </c>
      <c r="F113" s="23">
        <v>56574518</v>
      </c>
      <c r="G113" s="24">
        <v>56574637</v>
      </c>
      <c r="H113" s="5">
        <v>120</v>
      </c>
      <c r="I113" s="7">
        <v>45887</v>
      </c>
      <c r="J113" s="7"/>
      <c r="K113" s="22">
        <v>81972301</v>
      </c>
      <c r="L113" s="7">
        <v>45932</v>
      </c>
      <c r="M113" s="11">
        <v>105.01</v>
      </c>
      <c r="N113" s="6" t="s">
        <v>33</v>
      </c>
      <c r="O113" s="5">
        <v>50070360</v>
      </c>
      <c r="P113" s="29" t="s">
        <v>34</v>
      </c>
      <c r="Q113" s="5">
        <f>IF(ISBLANK(OHTrans[[#This Row],[PO Number]]),"",IF(ISBLANK(OHTrans[[#This Row],[Recv Date]]),0,1))</f>
        <v>1</v>
      </c>
    </row>
    <row r="114" spans="1:17" ht="15.6" x14ac:dyDescent="0.3">
      <c r="A114" s="5">
        <f>IF(ISBLANK(OHTrans[[#This Row],[OpCo2]]),"",COUNTA(OHTrans[[#This Row],[OpCo2]])-(COUNTA(OHTrans[[#This Row],[OpCo2]])-ROW(OHTrans[[#This Row],[OpCo2]])+1))</f>
        <v>113</v>
      </c>
      <c r="B114" s="5" t="s">
        <v>17</v>
      </c>
      <c r="C114" s="6" t="s">
        <v>2</v>
      </c>
      <c r="D114" s="6" t="s">
        <v>1</v>
      </c>
      <c r="E114" s="5" t="s">
        <v>16</v>
      </c>
      <c r="F114" s="23">
        <v>56535000</v>
      </c>
      <c r="G114" s="24">
        <v>56535119</v>
      </c>
      <c r="H114" s="5">
        <v>120</v>
      </c>
      <c r="I114" s="7">
        <v>45005</v>
      </c>
      <c r="J114" s="7"/>
      <c r="K114" s="22">
        <v>81151659</v>
      </c>
      <c r="L114" s="7">
        <v>45937</v>
      </c>
      <c r="M114" s="11">
        <v>73.44</v>
      </c>
      <c r="N114" s="6" t="s">
        <v>19</v>
      </c>
      <c r="O114" s="5">
        <v>78100875</v>
      </c>
      <c r="P114" s="29" t="s">
        <v>38</v>
      </c>
      <c r="Q114" s="5">
        <f>IF(ISBLANK(OHTrans[[#This Row],[PO Number]]),"",IF(ISBLANK(OHTrans[[#This Row],[Recv Date]]),0,1))</f>
        <v>1</v>
      </c>
    </row>
    <row r="115" spans="1:17" ht="15.6" x14ac:dyDescent="0.3">
      <c r="A115" s="5">
        <f>IF(ISBLANK(OHTrans[[#This Row],[OpCo2]]),"",COUNTA(OHTrans[[#This Row],[OpCo2]])-(COUNTA(OHTrans[[#This Row],[OpCo2]])-ROW(OHTrans[[#This Row],[OpCo2]])+1))</f>
        <v>114</v>
      </c>
      <c r="B115" s="5" t="s">
        <v>17</v>
      </c>
      <c r="C115" s="6" t="s">
        <v>2</v>
      </c>
      <c r="D115" s="6" t="s">
        <v>23</v>
      </c>
      <c r="E115" s="5" t="s">
        <v>58</v>
      </c>
      <c r="F115" s="23">
        <v>258410001</v>
      </c>
      <c r="G115" s="24">
        <v>258410015</v>
      </c>
      <c r="H115" s="5">
        <v>15</v>
      </c>
      <c r="I115" s="7">
        <v>45901</v>
      </c>
      <c r="J115" s="7"/>
      <c r="K115" s="22">
        <v>81950195</v>
      </c>
      <c r="L115" s="7">
        <v>45943</v>
      </c>
      <c r="M115" s="11">
        <v>1472</v>
      </c>
      <c r="N115" s="6" t="s">
        <v>101</v>
      </c>
      <c r="O115" s="83">
        <v>71059898</v>
      </c>
      <c r="P115" s="29" t="s">
        <v>58</v>
      </c>
      <c r="Q115" s="5">
        <f>IF(ISBLANK(OHTrans[[#This Row],[PO Number]]),"",IF(ISBLANK(OHTrans[[#This Row],[Recv Date]]),0,1))</f>
        <v>1</v>
      </c>
    </row>
    <row r="116" spans="1:17" ht="15.6" x14ac:dyDescent="0.3">
      <c r="A116" s="5">
        <f>IF(ISBLANK(OHTrans[[#This Row],[OpCo2]]),"",COUNTA(OHTrans[[#This Row],[OpCo2]])-(COUNTA(OHTrans[[#This Row],[OpCo2]])-ROW(OHTrans[[#This Row],[OpCo2]])+1))</f>
        <v>115</v>
      </c>
      <c r="B116" s="5" t="s">
        <v>17</v>
      </c>
      <c r="C116" s="6" t="s">
        <v>2</v>
      </c>
      <c r="D116" s="6" t="s">
        <v>1</v>
      </c>
      <c r="E116" s="5" t="s">
        <v>40</v>
      </c>
      <c r="F116" s="23">
        <v>56550286</v>
      </c>
      <c r="G116" s="24">
        <v>56550465</v>
      </c>
      <c r="H116" s="5">
        <v>180</v>
      </c>
      <c r="I116" s="7">
        <v>45091</v>
      </c>
      <c r="J116" s="7"/>
      <c r="K116" s="22">
        <v>81189705</v>
      </c>
      <c r="L116" s="7">
        <v>10</v>
      </c>
      <c r="M116" s="11">
        <v>13</v>
      </c>
      <c r="N116" s="6" t="s">
        <v>42</v>
      </c>
      <c r="O116" s="83">
        <v>50072367</v>
      </c>
      <c r="P116" s="29" t="s">
        <v>40</v>
      </c>
      <c r="Q116" s="5">
        <f>IF(ISBLANK(OHTrans[[#This Row],[PO Number]]),"",IF(ISBLANK(OHTrans[[#This Row],[Recv Date]]),0,1))</f>
        <v>1</v>
      </c>
    </row>
    <row r="117" spans="1:17" ht="15.6" x14ac:dyDescent="0.3">
      <c r="A117" s="5">
        <f>IF(ISBLANK(OHTrans[[#This Row],[OpCo2]]),"",COUNTA(OHTrans[[#This Row],[OpCo2]])-(COUNTA(OHTrans[[#This Row],[OpCo2]])-ROW(OHTrans[[#This Row],[OpCo2]])+1))</f>
        <v>116</v>
      </c>
      <c r="B117" s="5" t="s">
        <v>17</v>
      </c>
      <c r="C117" s="6" t="s">
        <v>2</v>
      </c>
      <c r="D117" s="6" t="s">
        <v>1</v>
      </c>
      <c r="E117" s="5" t="s">
        <v>27</v>
      </c>
      <c r="F117" s="23">
        <v>56574940</v>
      </c>
      <c r="G117" s="24">
        <v>56575059</v>
      </c>
      <c r="H117" s="5">
        <v>120</v>
      </c>
      <c r="I117" s="7">
        <v>45887</v>
      </c>
      <c r="J117" s="7"/>
      <c r="K117" s="22">
        <v>81972301</v>
      </c>
      <c r="L117" s="7">
        <v>45950</v>
      </c>
      <c r="M117" s="11">
        <v>122.57</v>
      </c>
      <c r="N117" s="6" t="s">
        <v>26</v>
      </c>
      <c r="O117" s="83">
        <v>71057111</v>
      </c>
      <c r="P117" s="29" t="s">
        <v>27</v>
      </c>
      <c r="Q117" s="5">
        <f>IF(ISBLANK(OHTrans[[#This Row],[PO Number]]),"",IF(ISBLANK(OHTrans[[#This Row],[Recv Date]]),0,1))</f>
        <v>1</v>
      </c>
    </row>
    <row r="118" spans="1:17" ht="15.6" x14ac:dyDescent="0.3">
      <c r="A118" s="5">
        <f>IF(ISBLANK(OHTrans[[#This Row],[OpCo2]]),"",COUNTA(OHTrans[[#This Row],[OpCo2]])-(COUNTA(OHTrans[[#This Row],[OpCo2]])-ROW(OHTrans[[#This Row],[OpCo2]])+1))</f>
        <v>117</v>
      </c>
      <c r="B118" s="5" t="s">
        <v>17</v>
      </c>
      <c r="C118" s="6" t="s">
        <v>2</v>
      </c>
      <c r="D118" s="6" t="s">
        <v>23</v>
      </c>
      <c r="E118" s="5" t="s">
        <v>60</v>
      </c>
      <c r="F118" s="23">
        <v>258411001</v>
      </c>
      <c r="G118" s="24">
        <v>258411015</v>
      </c>
      <c r="H118" s="5">
        <v>15</v>
      </c>
      <c r="I118" s="7">
        <v>45854</v>
      </c>
      <c r="J118" s="7"/>
      <c r="K118" s="22">
        <v>81950195</v>
      </c>
      <c r="L118" s="7">
        <v>45952</v>
      </c>
      <c r="M118" s="11">
        <v>2586.7600000000002</v>
      </c>
      <c r="N118" s="6" t="s">
        <v>59</v>
      </c>
      <c r="O118" s="5">
        <v>71056315</v>
      </c>
      <c r="P118" s="29" t="s">
        <v>60</v>
      </c>
      <c r="Q118" s="5">
        <f>IF(ISBLANK(OHTrans[[#This Row],[PO Number]]),"",IF(ISBLANK(OHTrans[[#This Row],[Recv Date]]),0,1))</f>
        <v>1</v>
      </c>
    </row>
    <row r="119" spans="1:17" ht="15.6" x14ac:dyDescent="0.3">
      <c r="A119" s="5">
        <f>IF(ISBLANK(OHTrans[[#This Row],[OpCo2]]),"",COUNTA(OHTrans[[#This Row],[OpCo2]])-(COUNTA(OHTrans[[#This Row],[OpCo2]])-ROW(OHTrans[[#This Row],[OpCo2]])+1))</f>
        <v>118</v>
      </c>
      <c r="B119" s="5" t="s">
        <v>17</v>
      </c>
      <c r="C119" s="6" t="s">
        <v>2</v>
      </c>
      <c r="D119" s="6" t="s">
        <v>21</v>
      </c>
      <c r="E119" s="5" t="s">
        <v>60</v>
      </c>
      <c r="F119" s="23" t="s">
        <v>64</v>
      </c>
      <c r="G119" s="24">
        <v>52516266</v>
      </c>
      <c r="H119" s="5">
        <v>1</v>
      </c>
      <c r="I119" s="7">
        <v>45442</v>
      </c>
      <c r="J119" s="7"/>
      <c r="K119" s="22">
        <v>81346712</v>
      </c>
      <c r="L119" s="7">
        <v>45952</v>
      </c>
      <c r="M119" s="11">
        <v>2586.7600000000002</v>
      </c>
      <c r="N119" s="6" t="s">
        <v>59</v>
      </c>
      <c r="O119" s="83">
        <v>71056315</v>
      </c>
      <c r="P119" s="29" t="s">
        <v>60</v>
      </c>
      <c r="Q119" s="5">
        <f>IF(ISBLANK(OHTrans[[#This Row],[PO Number]]),"",IF(ISBLANK(OHTrans[[#This Row],[Recv Date]]),0,1))</f>
        <v>1</v>
      </c>
    </row>
    <row r="120" spans="1:17" ht="15.6" x14ac:dyDescent="0.3">
      <c r="A120" s="5">
        <f>IF(ISBLANK(OHTrans[[#This Row],[OpCo2]]),"",COUNTA(OHTrans[[#This Row],[OpCo2]])-(COUNTA(OHTrans[[#This Row],[OpCo2]])-ROW(OHTrans[[#This Row],[OpCo2]])+1))</f>
        <v>119</v>
      </c>
      <c r="B120" s="5" t="s">
        <v>17</v>
      </c>
      <c r="C120" s="6" t="s">
        <v>2</v>
      </c>
      <c r="D120" s="6" t="s">
        <v>21</v>
      </c>
      <c r="E120" s="5" t="s">
        <v>60</v>
      </c>
      <c r="F120" s="23" t="s">
        <v>64</v>
      </c>
      <c r="G120" s="24">
        <v>42515833</v>
      </c>
      <c r="H120" s="5">
        <v>1</v>
      </c>
      <c r="I120" s="7">
        <v>45442</v>
      </c>
      <c r="J120" s="7"/>
      <c r="K120" s="22">
        <v>81346712</v>
      </c>
      <c r="L120" s="7">
        <v>45954</v>
      </c>
      <c r="M120" s="11">
        <v>2586.7600000000002</v>
      </c>
      <c r="N120" s="6" t="s">
        <v>59</v>
      </c>
      <c r="O120" s="5">
        <v>71056315</v>
      </c>
      <c r="P120" s="29" t="s">
        <v>60</v>
      </c>
      <c r="Q120" s="5">
        <f>IF(ISBLANK(OHTrans[[#This Row],[PO Number]]),"",IF(ISBLANK(OHTrans[[#This Row],[Recv Date]]),0,1))</f>
        <v>1</v>
      </c>
    </row>
    <row r="121" spans="1:17" ht="15.6" x14ac:dyDescent="0.3">
      <c r="A121" s="5">
        <f>IF(ISBLANK(OHTrans[[#This Row],[OpCo2]]),"",COUNTA(OHTrans[[#This Row],[OpCo2]])-(COUNTA(OHTrans[[#This Row],[OpCo2]])-ROW(OHTrans[[#This Row],[OpCo2]])+1))</f>
        <v>120</v>
      </c>
      <c r="B121" s="5" t="s">
        <v>17</v>
      </c>
      <c r="C121" s="6" t="s">
        <v>2</v>
      </c>
      <c r="D121" s="6" t="s">
        <v>1</v>
      </c>
      <c r="E121" s="5" t="s">
        <v>34</v>
      </c>
      <c r="F121" s="23">
        <v>56605145</v>
      </c>
      <c r="G121" s="24">
        <v>56605324</v>
      </c>
      <c r="H121" s="5">
        <v>180</v>
      </c>
      <c r="I121" s="7">
        <v>45931</v>
      </c>
      <c r="J121" s="7"/>
      <c r="K121" s="22">
        <v>82010409</v>
      </c>
      <c r="L121" s="7">
        <v>45979</v>
      </c>
      <c r="M121" s="11">
        <v>105.39</v>
      </c>
      <c r="N121" s="6" t="s">
        <v>33</v>
      </c>
      <c r="O121" s="5">
        <v>50070360</v>
      </c>
      <c r="P121" s="29" t="s">
        <v>34</v>
      </c>
      <c r="Q121" s="5">
        <f>IF(ISBLANK(OHTrans[[#This Row],[PO Number]]),"",IF(ISBLANK(OHTrans[[#This Row],[Recv Date]]),0,1))</f>
        <v>1</v>
      </c>
    </row>
    <row r="122" spans="1:17" ht="15.6" x14ac:dyDescent="0.3">
      <c r="A122" s="5">
        <f>IF(ISBLANK(OHTrans[[#This Row],[OpCo2]]),"",COUNTA(OHTrans[[#This Row],[OpCo2]])-(COUNTA(OHTrans[[#This Row],[OpCo2]])-ROW(OHTrans[[#This Row],[OpCo2]])+1))</f>
        <v>121</v>
      </c>
      <c r="B122" s="5" t="s">
        <v>17</v>
      </c>
      <c r="C122" s="6" t="s">
        <v>2</v>
      </c>
      <c r="D122" s="6" t="s">
        <v>23</v>
      </c>
      <c r="E122" s="5" t="s">
        <v>49</v>
      </c>
      <c r="F122" s="23">
        <v>251063001</v>
      </c>
      <c r="G122" s="24">
        <v>251063015</v>
      </c>
      <c r="H122" s="5">
        <v>15</v>
      </c>
      <c r="I122" s="7">
        <v>45887</v>
      </c>
      <c r="J122" s="7"/>
      <c r="K122" s="22">
        <v>81972361</v>
      </c>
      <c r="L122" s="7">
        <v>45979</v>
      </c>
      <c r="M122" s="11">
        <v>4598</v>
      </c>
      <c r="N122" s="6" t="s">
        <v>48</v>
      </c>
      <c r="O122" s="5">
        <v>71056044</v>
      </c>
      <c r="P122" s="29" t="s">
        <v>49</v>
      </c>
      <c r="Q122" s="5">
        <f>IF(ISBLANK(OHTrans[[#This Row],[PO Number]]),"",IF(ISBLANK(OHTrans[[#This Row],[Recv Date]]),0,1))</f>
        <v>1</v>
      </c>
    </row>
    <row r="123" spans="1:17" ht="15.6" x14ac:dyDescent="0.3">
      <c r="A123" s="5" t="str">
        <f>IF(ISBLANK(OHTrans[[#This Row],[OpCo2]]),"",COUNTA(OHTrans[[#This Row],[OpCo2]])-(COUNTA(OHTrans[[#This Row],[OpCo2]])-ROW(OHTrans[[#This Row],[OpCo2]])+1))</f>
        <v/>
      </c>
      <c r="B123" s="5"/>
      <c r="C123" s="6"/>
      <c r="D123" s="6"/>
      <c r="E123" s="5"/>
      <c r="F123" s="23"/>
      <c r="G123" s="24"/>
      <c r="H123" s="5"/>
      <c r="I123" s="7"/>
      <c r="J123" s="7"/>
      <c r="K123" s="22"/>
      <c r="L123" s="7"/>
      <c r="M123" s="11"/>
      <c r="N123" s="6"/>
      <c r="O123" s="5"/>
      <c r="P123" s="29"/>
      <c r="Q123" s="5" t="str">
        <f>IF(ISBLANK(OHTrans[[#This Row],[PO Number]]),"",IF(ISBLANK(OHTrans[[#This Row],[Recv Date]]),0,1))</f>
        <v/>
      </c>
    </row>
    <row r="124" spans="1:17" ht="15.6" x14ac:dyDescent="0.3">
      <c r="A124" s="5" t="str">
        <f>IF(ISBLANK(OHTrans[[#This Row],[OpCo2]]),"",COUNTA(OHTrans[[#This Row],[OpCo2]])-(COUNTA(OHTrans[[#This Row],[OpCo2]])-ROW(OHTrans[[#This Row],[OpCo2]])+1))</f>
        <v/>
      </c>
      <c r="B124" s="5"/>
      <c r="C124" s="6"/>
      <c r="D124" s="6"/>
      <c r="E124" s="5"/>
      <c r="F124" s="23"/>
      <c r="G124" s="24"/>
      <c r="H124" s="5"/>
      <c r="I124" s="7"/>
      <c r="J124" s="7"/>
      <c r="K124" s="22"/>
      <c r="L124" s="7"/>
      <c r="M124" s="11"/>
      <c r="N124" s="6"/>
      <c r="O124" s="5"/>
      <c r="P124" s="29"/>
      <c r="Q124" s="5" t="str">
        <f>IF(ISBLANK(OHTrans[[#This Row],[PO Number]]),"",IF(ISBLANK(OHTrans[[#This Row],[Recv Date]]),0,1))</f>
        <v/>
      </c>
    </row>
    <row r="125" spans="1:17" ht="15.6" x14ac:dyDescent="0.3">
      <c r="A125" s="5" t="str">
        <f>IF(ISBLANK(OHTrans[[#This Row],[OpCo2]]),"",COUNTA(OHTrans[[#This Row],[OpCo2]])-(COUNTA(OHTrans[[#This Row],[OpCo2]])-ROW(OHTrans[[#This Row],[OpCo2]])+1))</f>
        <v/>
      </c>
      <c r="B125" s="5"/>
      <c r="C125" s="6"/>
      <c r="D125" s="6"/>
      <c r="E125" s="5"/>
      <c r="F125" s="23"/>
      <c r="G125" s="24"/>
      <c r="H125" s="5"/>
      <c r="I125" s="7"/>
      <c r="J125" s="7"/>
      <c r="K125" s="22"/>
      <c r="L125" s="7"/>
      <c r="M125" s="11"/>
      <c r="N125" s="6"/>
      <c r="O125" s="5"/>
      <c r="P125" s="29"/>
      <c r="Q125" s="5" t="str">
        <f>IF(ISBLANK(OHTrans[[#This Row],[PO Number]]),"",IF(ISBLANK(OHTrans[[#This Row],[Recv Date]]),0,1))</f>
        <v/>
      </c>
    </row>
    <row r="126" spans="1:17" ht="15.6" x14ac:dyDescent="0.3">
      <c r="A126" s="4"/>
      <c r="B126" s="4"/>
      <c r="C126" s="25"/>
      <c r="D126" s="25"/>
      <c r="E126" s="4"/>
      <c r="F126" s="5"/>
      <c r="G126" s="4"/>
      <c r="H126" s="4"/>
      <c r="I126" s="26"/>
      <c r="J126" s="26"/>
      <c r="K126" s="27"/>
      <c r="L126" s="26"/>
      <c r="M126" s="28"/>
      <c r="N126" s="25"/>
      <c r="O126" s="4"/>
      <c r="P126" s="27"/>
      <c r="Q126" s="4"/>
    </row>
  </sheetData>
  <phoneticPr fontId="6" type="noConversion"/>
  <conditionalFormatting sqref="A1:B2 P1:P1048576 A3:A80 A81:B1048576">
    <cfRule type="expression" dxfId="10" priority="4">
      <formula>$A1="IM"</formula>
    </cfRule>
  </conditionalFormatting>
  <conditionalFormatting sqref="B1:B1048576 P1:P1048576">
    <cfRule type="expression" dxfId="9" priority="5">
      <formula>$B1="OH"</formula>
    </cfRule>
  </conditionalFormatting>
  <conditionalFormatting sqref="B3:B80">
    <cfRule type="expression" dxfId="8" priority="1">
      <formula>$A3="IM"</formula>
    </cfRule>
  </conditionalFormatting>
  <conditionalFormatting sqref="B25">
    <cfRule type="expression" dxfId="7" priority="2">
      <formula>$A25="OH"</formula>
    </cfRule>
  </conditionalFormatting>
  <conditionalFormatting sqref="F9">
    <cfRule type="duplicateValues" dxfId="6" priority="6"/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CBDBF2C5-10F6-491C-803C-B09D73429B2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Q2:Q1048576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23575-8A0B-4E9B-8465-1425A1819418}">
  <sheetPr codeName="Sheet5">
    <tabColor rgb="FF00B0F0"/>
  </sheetPr>
  <dimension ref="A1:U55"/>
  <sheetViews>
    <sheetView workbookViewId="0">
      <selection activeCell="K5" sqref="K5"/>
    </sheetView>
  </sheetViews>
  <sheetFormatPr defaultRowHeight="14.4" x14ac:dyDescent="0.3"/>
  <cols>
    <col min="1" max="1" width="5.6640625" style="1" customWidth="1"/>
    <col min="2" max="2" width="9.109375" style="2"/>
    <col min="3" max="3" width="9.33203125" style="2" customWidth="1"/>
    <col min="4" max="4" width="7.6640625" style="1" customWidth="1"/>
    <col min="5" max="5" width="12.33203125" style="1" customWidth="1"/>
    <col min="6" max="7" width="16.6640625" style="1" customWidth="1"/>
    <col min="8" max="8" width="10.6640625" style="14" customWidth="1"/>
    <col min="9" max="10" width="12.6640625" style="15" customWidth="1"/>
    <col min="11" max="11" width="14.5546875" style="14" customWidth="1"/>
    <col min="12" max="12" width="12" style="12" customWidth="1"/>
    <col min="13" max="13" width="12.6640625" style="2" customWidth="1"/>
    <col min="14" max="14" width="14.6640625" style="1" customWidth="1"/>
    <col min="15" max="15" width="10.6640625" style="15" customWidth="1"/>
    <col min="16" max="16" width="12.5546875" customWidth="1"/>
  </cols>
  <sheetData>
    <row r="1" spans="1:21" ht="18" x14ac:dyDescent="0.3">
      <c r="A1" s="8" t="s">
        <v>174</v>
      </c>
      <c r="B1" s="8" t="s">
        <v>173</v>
      </c>
      <c r="C1" s="9" t="s">
        <v>15</v>
      </c>
      <c r="D1" s="9" t="s">
        <v>14</v>
      </c>
      <c r="E1" s="8" t="s">
        <v>13</v>
      </c>
      <c r="F1" s="16" t="s">
        <v>12</v>
      </c>
      <c r="G1" s="17" t="s">
        <v>11</v>
      </c>
      <c r="H1" s="8" t="s">
        <v>10</v>
      </c>
      <c r="I1" s="13" t="s">
        <v>9</v>
      </c>
      <c r="J1" s="13" t="s">
        <v>214</v>
      </c>
      <c r="K1" s="8" t="s">
        <v>8</v>
      </c>
      <c r="L1" s="13" t="s">
        <v>7</v>
      </c>
      <c r="M1" s="10" t="s">
        <v>6</v>
      </c>
      <c r="N1" s="9" t="s">
        <v>5</v>
      </c>
      <c r="O1" s="8" t="s">
        <v>4</v>
      </c>
      <c r="P1" s="8" t="s">
        <v>3</v>
      </c>
      <c r="Q1" s="8" t="s">
        <v>69</v>
      </c>
      <c r="R1" s="8" t="s">
        <v>213</v>
      </c>
      <c r="T1" s="3"/>
      <c r="U1" s="3"/>
    </row>
    <row r="2" spans="1:21" ht="15.6" x14ac:dyDescent="0.3">
      <c r="A2" s="5">
        <f>IF(ISBLANK(IMTrans[[#This Row],[OpCo2]]),"",COUNTA(IMTrans[[#This Row],[OpCo2]])-(COUNTA(IMTrans[[#This Row],[OpCo2]])-ROW(IMTrans[[#This Row],[OpCo2]])+1))</f>
        <v>1</v>
      </c>
      <c r="B2" s="5" t="s">
        <v>18</v>
      </c>
      <c r="C2" s="6" t="s">
        <v>2</v>
      </c>
      <c r="D2" s="6" t="s">
        <v>1</v>
      </c>
      <c r="E2" s="5" t="s">
        <v>16</v>
      </c>
      <c r="F2" s="18">
        <v>56022471</v>
      </c>
      <c r="G2" s="19">
        <v>56022560</v>
      </c>
      <c r="H2" s="4">
        <f>(IMTrans[[#This Row],[End Ser]]-IMTrans[[#This Row],[Beg Ser]])+1</f>
        <v>90</v>
      </c>
      <c r="I2" s="7">
        <v>44462</v>
      </c>
      <c r="J2" s="7"/>
      <c r="K2" s="22">
        <v>80409718</v>
      </c>
      <c r="L2" s="7">
        <v>45057</v>
      </c>
      <c r="M2" s="11">
        <v>73.44</v>
      </c>
      <c r="N2" s="6" t="s">
        <v>19</v>
      </c>
      <c r="O2" s="5">
        <v>78100875</v>
      </c>
      <c r="P2" s="29" t="s">
        <v>20</v>
      </c>
      <c r="Q2" s="5">
        <f>IF(ISBLANK(IMTrans[[#This Row],[PO Number]]),"",IF(ISBLANK(IMTrans[[#This Row],[Recv Date]]),0,1))</f>
        <v>1</v>
      </c>
      <c r="R2" s="4"/>
      <c r="T2" s="3"/>
      <c r="U2" s="3"/>
    </row>
    <row r="3" spans="1:21" ht="15.6" x14ac:dyDescent="0.3">
      <c r="A3" s="5">
        <f>IF(ISBLANK(IMTrans[[#This Row],[OpCo2]]),"",COUNTA(IMTrans[[#This Row],[OpCo2]])-(COUNTA(IMTrans[[#This Row],[OpCo2]])-ROW(IMTrans[[#This Row],[OpCo2]])+1))</f>
        <v>2</v>
      </c>
      <c r="B3" s="5" t="s">
        <v>18</v>
      </c>
      <c r="C3" s="6" t="s">
        <v>2</v>
      </c>
      <c r="D3" s="6" t="s">
        <v>1</v>
      </c>
      <c r="E3" s="5" t="s">
        <v>16</v>
      </c>
      <c r="F3" s="18">
        <v>56038708</v>
      </c>
      <c r="G3" s="19">
        <v>56038797</v>
      </c>
      <c r="H3" s="5">
        <f>(IMTrans[[#This Row],[End Ser]]-IMTrans[[#This Row],[Beg Ser]])+1</f>
        <v>90</v>
      </c>
      <c r="I3" s="7">
        <v>44496</v>
      </c>
      <c r="J3" s="7"/>
      <c r="K3" s="22">
        <v>80427589</v>
      </c>
      <c r="L3" s="7">
        <v>45065</v>
      </c>
      <c r="M3" s="11">
        <v>73.44</v>
      </c>
      <c r="N3" s="6" t="s">
        <v>19</v>
      </c>
      <c r="O3" s="5">
        <v>78100875</v>
      </c>
      <c r="P3" s="29" t="s">
        <v>20</v>
      </c>
      <c r="Q3" s="5">
        <f>IF(ISBLANK(IMTrans[[#This Row],[PO Number]]),"",IF(ISBLANK(IMTrans[[#This Row],[Recv Date]]),0,1))</f>
        <v>1</v>
      </c>
      <c r="R3" s="4"/>
      <c r="T3" s="3"/>
      <c r="U3" s="3"/>
    </row>
    <row r="4" spans="1:21" ht="15.6" x14ac:dyDescent="0.3">
      <c r="A4" s="5">
        <f>IF(ISBLANK(IMTrans[[#This Row],[OpCo2]]),"",COUNTA(IMTrans[[#This Row],[OpCo2]])-(COUNTA(IMTrans[[#This Row],[OpCo2]])-ROW(IMTrans[[#This Row],[OpCo2]])+1))</f>
        <v>3</v>
      </c>
      <c r="B4" s="5" t="s">
        <v>18</v>
      </c>
      <c r="C4" s="6" t="s">
        <v>2</v>
      </c>
      <c r="D4" s="6" t="s">
        <v>21</v>
      </c>
      <c r="E4" s="5" t="s">
        <v>74</v>
      </c>
      <c r="F4" s="23" t="s">
        <v>64</v>
      </c>
      <c r="G4" s="24" t="s">
        <v>64</v>
      </c>
      <c r="H4" s="5">
        <v>6</v>
      </c>
      <c r="I4" s="7">
        <v>44663</v>
      </c>
      <c r="J4" s="7"/>
      <c r="K4" s="22">
        <v>80610839</v>
      </c>
      <c r="L4" s="7">
        <v>45135</v>
      </c>
      <c r="M4" s="11">
        <v>2440.34</v>
      </c>
      <c r="N4" s="6" t="s">
        <v>75</v>
      </c>
      <c r="O4" s="5">
        <v>71054341</v>
      </c>
      <c r="P4" s="29" t="s">
        <v>74</v>
      </c>
      <c r="Q4" s="5">
        <f>IF(ISBLANK(IMTrans[[#This Row],[PO Number]]),"",IF(ISBLANK(IMTrans[[#This Row],[Recv Date]]),0,1))</f>
        <v>1</v>
      </c>
      <c r="R4" s="4"/>
      <c r="T4" s="3"/>
      <c r="U4" s="3"/>
    </row>
    <row r="5" spans="1:21" ht="15.6" x14ac:dyDescent="0.3">
      <c r="A5" s="5">
        <f>IF(ISBLANK(IMTrans[[#This Row],[OpCo2]]),"",COUNTA(IMTrans[[#This Row],[OpCo2]])-(COUNTA(IMTrans[[#This Row],[OpCo2]])-ROW(IMTrans[[#This Row],[OpCo2]])+1))</f>
        <v>4</v>
      </c>
      <c r="B5" s="5" t="s">
        <v>18</v>
      </c>
      <c r="C5" s="6" t="s">
        <v>2</v>
      </c>
      <c r="D5" s="6" t="s">
        <v>21</v>
      </c>
      <c r="E5" s="5" t="s">
        <v>53</v>
      </c>
      <c r="F5" s="18" t="s">
        <v>64</v>
      </c>
      <c r="G5" s="19" t="s">
        <v>64</v>
      </c>
      <c r="H5" s="5">
        <v>6</v>
      </c>
      <c r="I5" s="7">
        <v>44663</v>
      </c>
      <c r="J5" s="7"/>
      <c r="K5" s="22">
        <v>80610839</v>
      </c>
      <c r="L5" s="7">
        <v>45159</v>
      </c>
      <c r="M5" s="11">
        <v>2439.8000000000002</v>
      </c>
      <c r="N5" s="6" t="s">
        <v>77</v>
      </c>
      <c r="O5" s="5">
        <v>71054859</v>
      </c>
      <c r="P5" s="29" t="s">
        <v>53</v>
      </c>
      <c r="Q5" s="5">
        <f>IF(ISBLANK(IMTrans[[#This Row],[PO Number]]),"",IF(ISBLANK(IMTrans[[#This Row],[Recv Date]]),0,1))</f>
        <v>1</v>
      </c>
      <c r="R5" s="4"/>
      <c r="T5" s="3"/>
      <c r="U5" s="3"/>
    </row>
    <row r="6" spans="1:21" ht="15.6" x14ac:dyDescent="0.3">
      <c r="A6" s="5">
        <f>IF(ISBLANK(IMTrans[[#This Row],[OpCo2]]),"",COUNTA(IMTrans[[#This Row],[OpCo2]])-(COUNTA(IMTrans[[#This Row],[OpCo2]])-ROW(IMTrans[[#This Row],[OpCo2]])+1))</f>
        <v>5</v>
      </c>
      <c r="B6" s="5" t="s">
        <v>18</v>
      </c>
      <c r="C6" s="6" t="s">
        <v>2</v>
      </c>
      <c r="D6" s="6" t="s">
        <v>1</v>
      </c>
      <c r="E6" s="5" t="s">
        <v>41</v>
      </c>
      <c r="F6" s="18">
        <v>56101301</v>
      </c>
      <c r="G6" s="19">
        <v>56101480</v>
      </c>
      <c r="H6" s="5">
        <v>180</v>
      </c>
      <c r="I6" s="7">
        <v>44832</v>
      </c>
      <c r="J6" s="7"/>
      <c r="K6" s="22">
        <v>81070215</v>
      </c>
      <c r="L6" s="7">
        <v>45162</v>
      </c>
      <c r="M6" s="11">
        <v>59.69</v>
      </c>
      <c r="N6" s="6" t="s">
        <v>33</v>
      </c>
      <c r="O6" s="5">
        <v>50070360</v>
      </c>
      <c r="P6" s="29" t="s">
        <v>34</v>
      </c>
      <c r="Q6" s="5">
        <f>IF(ISBLANK(IMTrans[[#This Row],[PO Number]]),"",IF(ISBLANK(IMTrans[[#This Row],[Recv Date]]),0,1))</f>
        <v>1</v>
      </c>
      <c r="R6" s="4"/>
      <c r="T6" s="3"/>
      <c r="U6" s="3"/>
    </row>
    <row r="7" spans="1:21" ht="15.6" x14ac:dyDescent="0.3">
      <c r="A7" s="5">
        <f>IF(ISBLANK(IMTrans[[#This Row],[OpCo2]]),"",COUNTA(IMTrans[[#This Row],[OpCo2]])-(COUNTA(IMTrans[[#This Row],[OpCo2]])-ROW(IMTrans[[#This Row],[OpCo2]])+1))</f>
        <v>6</v>
      </c>
      <c r="B7" s="5" t="s">
        <v>18</v>
      </c>
      <c r="C7" s="6" t="s">
        <v>2</v>
      </c>
      <c r="D7" s="6" t="s">
        <v>1</v>
      </c>
      <c r="E7" s="5" t="s">
        <v>27</v>
      </c>
      <c r="F7" s="18">
        <v>56106200</v>
      </c>
      <c r="G7" s="19">
        <v>56106379</v>
      </c>
      <c r="H7" s="5">
        <v>180</v>
      </c>
      <c r="I7" s="7">
        <v>44832</v>
      </c>
      <c r="J7" s="7"/>
      <c r="K7" s="22">
        <v>81070215</v>
      </c>
      <c r="L7" s="7">
        <v>45162</v>
      </c>
      <c r="M7" s="11">
        <v>59.69</v>
      </c>
      <c r="N7" s="6" t="s">
        <v>26</v>
      </c>
      <c r="O7" s="5">
        <v>71057111</v>
      </c>
      <c r="P7" s="29" t="s">
        <v>27</v>
      </c>
      <c r="Q7" s="5">
        <f>IF(ISBLANK(IMTrans[[#This Row],[PO Number]]),"",IF(ISBLANK(IMTrans[[#This Row],[Recv Date]]),0,1))</f>
        <v>1</v>
      </c>
      <c r="R7" s="4"/>
    </row>
    <row r="8" spans="1:21" ht="15.6" x14ac:dyDescent="0.3">
      <c r="A8" s="5">
        <f>IF(ISBLANK(IMTrans[[#This Row],[OpCo2]]),"",COUNTA(IMTrans[[#This Row],[OpCo2]])-(COUNTA(IMTrans[[#This Row],[OpCo2]])-ROW(IMTrans[[#This Row],[OpCo2]])+1))</f>
        <v>7</v>
      </c>
      <c r="B8" s="5" t="s">
        <v>18</v>
      </c>
      <c r="C8" s="6" t="s">
        <v>2</v>
      </c>
      <c r="D8" s="6" t="s">
        <v>21</v>
      </c>
      <c r="E8" s="5" t="s">
        <v>74</v>
      </c>
      <c r="F8" s="18" t="s">
        <v>64</v>
      </c>
      <c r="G8" s="19" t="s">
        <v>64</v>
      </c>
      <c r="H8" s="5">
        <v>6</v>
      </c>
      <c r="I8" s="7">
        <v>44663</v>
      </c>
      <c r="J8" s="7"/>
      <c r="K8" s="22">
        <v>80610839</v>
      </c>
      <c r="L8" s="7">
        <v>45162</v>
      </c>
      <c r="M8" s="11">
        <v>2440.34</v>
      </c>
      <c r="N8" s="6" t="s">
        <v>75</v>
      </c>
      <c r="O8" s="5">
        <v>71054341</v>
      </c>
      <c r="P8" s="29" t="s">
        <v>74</v>
      </c>
      <c r="Q8" s="5">
        <f>IF(ISBLANK(IMTrans[[#This Row],[PO Number]]),"",IF(ISBLANK(IMTrans[[#This Row],[Recv Date]]),0,1))</f>
        <v>1</v>
      </c>
      <c r="R8" s="4"/>
    </row>
    <row r="9" spans="1:21" ht="15.6" x14ac:dyDescent="0.3">
      <c r="A9" s="5">
        <f>IF(ISBLANK(IMTrans[[#This Row],[OpCo2]]),"",COUNTA(IMTrans[[#This Row],[OpCo2]])-(COUNTA(IMTrans[[#This Row],[OpCo2]])-ROW(IMTrans[[#This Row],[OpCo2]])+1))</f>
        <v>8</v>
      </c>
      <c r="B9" s="5" t="s">
        <v>18</v>
      </c>
      <c r="C9" s="6" t="s">
        <v>2</v>
      </c>
      <c r="D9" s="6" t="s">
        <v>24</v>
      </c>
      <c r="E9" s="5" t="s">
        <v>55</v>
      </c>
      <c r="F9" s="18" t="s">
        <v>83</v>
      </c>
      <c r="G9" s="19" t="s">
        <v>84</v>
      </c>
      <c r="H9" s="4">
        <v>90</v>
      </c>
      <c r="I9" s="7">
        <v>45091</v>
      </c>
      <c r="J9" s="7"/>
      <c r="K9" s="22">
        <v>81189717</v>
      </c>
      <c r="L9" s="7">
        <v>45174</v>
      </c>
      <c r="M9" s="11">
        <v>571.5</v>
      </c>
      <c r="N9" s="6" t="s">
        <v>54</v>
      </c>
      <c r="O9" s="5">
        <v>78105840</v>
      </c>
      <c r="P9" s="29" t="s">
        <v>56</v>
      </c>
      <c r="Q9" s="5">
        <f>IF(ISBLANK(IMTrans[[#This Row],[PO Number]]),"",IF(ISBLANK(IMTrans[[#This Row],[Recv Date]]),0,1))</f>
        <v>1</v>
      </c>
      <c r="R9" s="4"/>
    </row>
    <row r="10" spans="1:21" ht="15.6" x14ac:dyDescent="0.3">
      <c r="A10" s="5">
        <f>IF(ISBLANK(IMTrans[[#This Row],[OpCo2]]),"",COUNTA(IMTrans[[#This Row],[OpCo2]])-(COUNTA(IMTrans[[#This Row],[OpCo2]])-ROW(IMTrans[[#This Row],[OpCo2]])+1))</f>
        <v>9</v>
      </c>
      <c r="B10" s="5" t="s">
        <v>18</v>
      </c>
      <c r="C10" s="6" t="s">
        <v>2</v>
      </c>
      <c r="D10" s="6" t="s">
        <v>21</v>
      </c>
      <c r="E10" s="5" t="s">
        <v>53</v>
      </c>
      <c r="F10" s="18" t="s">
        <v>64</v>
      </c>
      <c r="G10" s="19" t="s">
        <v>64</v>
      </c>
      <c r="H10" s="4">
        <v>6</v>
      </c>
      <c r="I10" s="7">
        <v>44663</v>
      </c>
      <c r="J10" s="7"/>
      <c r="K10" s="22">
        <v>80610839</v>
      </c>
      <c r="L10" s="7">
        <v>45174</v>
      </c>
      <c r="M10" s="11">
        <v>2439.8000000000002</v>
      </c>
      <c r="N10" s="6" t="s">
        <v>77</v>
      </c>
      <c r="O10" s="5">
        <v>71054859</v>
      </c>
      <c r="P10" s="29" t="s">
        <v>53</v>
      </c>
      <c r="Q10" s="5">
        <f>IF(ISBLANK(IMTrans[[#This Row],[PO Number]]),"",IF(ISBLANK(IMTrans[[#This Row],[Recv Date]]),0,1))</f>
        <v>1</v>
      </c>
      <c r="R10" s="4"/>
    </row>
    <row r="11" spans="1:21" ht="15.6" x14ac:dyDescent="0.3">
      <c r="A11" s="5">
        <f>IF(ISBLANK(IMTrans[[#This Row],[OpCo2]]),"",COUNTA(IMTrans[[#This Row],[OpCo2]])-(COUNTA(IMTrans[[#This Row],[OpCo2]])-ROW(IMTrans[[#This Row],[OpCo2]])+1))</f>
        <v>10</v>
      </c>
      <c r="B11" s="5" t="s">
        <v>18</v>
      </c>
      <c r="C11" s="6" t="s">
        <v>2</v>
      </c>
      <c r="D11" s="6" t="s">
        <v>1</v>
      </c>
      <c r="E11" s="5" t="s">
        <v>16</v>
      </c>
      <c r="F11" s="18">
        <v>56087259</v>
      </c>
      <c r="G11" s="19">
        <v>56087348</v>
      </c>
      <c r="H11" s="5">
        <v>90</v>
      </c>
      <c r="I11" s="7">
        <v>44790</v>
      </c>
      <c r="J11" s="7"/>
      <c r="K11" s="22">
        <v>81026872</v>
      </c>
      <c r="L11" s="7">
        <v>45205</v>
      </c>
      <c r="M11" s="11">
        <v>73.44</v>
      </c>
      <c r="N11" s="6" t="s">
        <v>19</v>
      </c>
      <c r="O11" s="5">
        <v>78100875</v>
      </c>
      <c r="P11" s="29" t="s">
        <v>20</v>
      </c>
      <c r="Q11" s="5">
        <f>IF(ISBLANK(IMTrans[[#This Row],[PO Number]]),"",IF(ISBLANK(IMTrans[[#This Row],[Recv Date]]),0,1))</f>
        <v>1</v>
      </c>
      <c r="R11" s="4"/>
    </row>
    <row r="12" spans="1:21" ht="15.6" x14ac:dyDescent="0.3">
      <c r="A12" s="5">
        <f>IF(ISBLANK(IMTrans[[#This Row],[OpCo2]]),"",COUNTA(IMTrans[[#This Row],[OpCo2]])-(COUNTA(IMTrans[[#This Row],[OpCo2]])-ROW(IMTrans[[#This Row],[OpCo2]])+1))</f>
        <v>11</v>
      </c>
      <c r="B12" s="5" t="s">
        <v>18</v>
      </c>
      <c r="C12" s="6" t="s">
        <v>2</v>
      </c>
      <c r="D12" s="6" t="s">
        <v>23</v>
      </c>
      <c r="E12" s="5" t="s">
        <v>74</v>
      </c>
      <c r="F12" s="18">
        <v>232021007</v>
      </c>
      <c r="G12" s="19">
        <v>232021015</v>
      </c>
      <c r="H12" s="5">
        <v>9</v>
      </c>
      <c r="I12" s="7">
        <v>45090</v>
      </c>
      <c r="J12" s="7"/>
      <c r="K12" s="22">
        <v>81189399</v>
      </c>
      <c r="L12" s="7">
        <v>45212</v>
      </c>
      <c r="M12" s="11">
        <v>1469</v>
      </c>
      <c r="N12" s="6" t="s">
        <v>102</v>
      </c>
      <c r="O12" s="5">
        <v>71059901</v>
      </c>
      <c r="P12" s="29" t="s">
        <v>74</v>
      </c>
      <c r="Q12" s="5">
        <f>IF(ISBLANK(IMTrans[[#This Row],[PO Number]]),"",IF(ISBLANK(IMTrans[[#This Row],[Recv Date]]),0,1))</f>
        <v>1</v>
      </c>
      <c r="R12" s="4"/>
    </row>
    <row r="13" spans="1:21" ht="15.6" x14ac:dyDescent="0.3">
      <c r="A13" s="5">
        <f>IF(ISBLANK(IMTrans[[#This Row],[OpCo2]]),"",COUNTA(IMTrans[[#This Row],[OpCo2]])-(COUNTA(IMTrans[[#This Row],[OpCo2]])-ROW(IMTrans[[#This Row],[OpCo2]])+1))</f>
        <v>12</v>
      </c>
      <c r="B13" s="5" t="s">
        <v>18</v>
      </c>
      <c r="C13" s="6" t="s">
        <v>2</v>
      </c>
      <c r="D13" s="6" t="s">
        <v>23</v>
      </c>
      <c r="E13" s="5" t="s">
        <v>53</v>
      </c>
      <c r="F13" s="18">
        <v>231311028</v>
      </c>
      <c r="G13" s="19">
        <v>231311045</v>
      </c>
      <c r="H13" s="5">
        <v>18</v>
      </c>
      <c r="I13" s="7">
        <v>45090</v>
      </c>
      <c r="J13" s="7"/>
      <c r="K13" s="22">
        <v>81189399</v>
      </c>
      <c r="L13" s="7">
        <v>45212</v>
      </c>
      <c r="M13" s="11">
        <v>1469</v>
      </c>
      <c r="N13" s="6" t="s">
        <v>103</v>
      </c>
      <c r="O13" s="5">
        <v>71059899</v>
      </c>
      <c r="P13" s="29" t="s">
        <v>67</v>
      </c>
      <c r="Q13" s="5">
        <f>IF(ISBLANK(IMTrans[[#This Row],[PO Number]]),"",IF(ISBLANK(IMTrans[[#This Row],[Recv Date]]),0,1))</f>
        <v>1</v>
      </c>
      <c r="R13" s="4"/>
    </row>
    <row r="14" spans="1:21" ht="15.6" x14ac:dyDescent="0.3">
      <c r="A14" s="5">
        <f>IF(ISBLANK(IMTrans[[#This Row],[OpCo2]]),"",COUNTA(IMTrans[[#This Row],[OpCo2]])-(COUNTA(IMTrans[[#This Row],[OpCo2]])-ROW(IMTrans[[#This Row],[OpCo2]])+1))</f>
        <v>13</v>
      </c>
      <c r="B14" s="5" t="s">
        <v>18</v>
      </c>
      <c r="C14" s="6" t="s">
        <v>2</v>
      </c>
      <c r="D14" s="6" t="s">
        <v>23</v>
      </c>
      <c r="E14" s="5" t="s">
        <v>67</v>
      </c>
      <c r="F14" s="18">
        <v>232017019</v>
      </c>
      <c r="G14" s="19">
        <v>232017036</v>
      </c>
      <c r="H14" s="5">
        <v>18</v>
      </c>
      <c r="I14" s="7">
        <v>45090</v>
      </c>
      <c r="J14" s="7"/>
      <c r="K14" s="22">
        <v>81189399</v>
      </c>
      <c r="L14" s="7">
        <v>45212</v>
      </c>
      <c r="M14" s="11">
        <v>1469</v>
      </c>
      <c r="N14" s="6" t="s">
        <v>104</v>
      </c>
      <c r="O14" s="5">
        <v>71059897</v>
      </c>
      <c r="P14" s="29" t="s">
        <v>53</v>
      </c>
      <c r="Q14" s="5">
        <f>IF(ISBLANK(IMTrans[[#This Row],[PO Number]]),"",IF(ISBLANK(IMTrans[[#This Row],[Recv Date]]),0,1))</f>
        <v>1</v>
      </c>
      <c r="R14" s="4"/>
    </row>
    <row r="15" spans="1:21" ht="15.6" x14ac:dyDescent="0.3">
      <c r="A15" s="5">
        <f>IF(ISBLANK(IMTrans[[#This Row],[OpCo2]]),"",COUNTA(IMTrans[[#This Row],[OpCo2]])-(COUNTA(IMTrans[[#This Row],[OpCo2]])-ROW(IMTrans[[#This Row],[OpCo2]])+1))</f>
        <v>14</v>
      </c>
      <c r="B15" s="5" t="s">
        <v>18</v>
      </c>
      <c r="C15" s="6" t="s">
        <v>2</v>
      </c>
      <c r="D15" s="6" t="s">
        <v>21</v>
      </c>
      <c r="E15" s="5" t="s">
        <v>67</v>
      </c>
      <c r="F15" s="18" t="s">
        <v>64</v>
      </c>
      <c r="G15" s="19" t="s">
        <v>64</v>
      </c>
      <c r="H15" s="5">
        <v>6</v>
      </c>
      <c r="I15" s="7">
        <v>44663</v>
      </c>
      <c r="J15" s="7"/>
      <c r="K15" s="22">
        <v>80610839</v>
      </c>
      <c r="L15" s="7"/>
      <c r="M15" s="11">
        <v>1420.25</v>
      </c>
      <c r="N15" s="6" t="s">
        <v>37</v>
      </c>
      <c r="O15" s="5">
        <v>71054340</v>
      </c>
      <c r="P15" s="29" t="s">
        <v>67</v>
      </c>
      <c r="Q15" s="5">
        <f>IF(ISBLANK(IMTrans[[#This Row],[PO Number]]),"",IF(ISBLANK(IMTrans[[#This Row],[Recv Date]]),0,1))</f>
        <v>0</v>
      </c>
      <c r="R15" s="4"/>
    </row>
    <row r="16" spans="1:21" ht="15.6" x14ac:dyDescent="0.3">
      <c r="A16" s="5">
        <f>IF(ISBLANK(IMTrans[[#This Row],[OpCo2]]),"",COUNTA(IMTrans[[#This Row],[OpCo2]])-(COUNTA(IMTrans[[#This Row],[OpCo2]])-ROW(IMTrans[[#This Row],[OpCo2]])+1))</f>
        <v>15</v>
      </c>
      <c r="B16" s="5" t="s">
        <v>18</v>
      </c>
      <c r="C16" s="6" t="s">
        <v>2</v>
      </c>
      <c r="D16" s="6" t="s">
        <v>21</v>
      </c>
      <c r="E16" s="5" t="s">
        <v>67</v>
      </c>
      <c r="F16" s="18" t="s">
        <v>64</v>
      </c>
      <c r="G16" s="19" t="s">
        <v>64</v>
      </c>
      <c r="H16" s="5">
        <v>6</v>
      </c>
      <c r="I16" s="7">
        <v>45028</v>
      </c>
      <c r="J16" s="7"/>
      <c r="K16" s="22">
        <v>80610839</v>
      </c>
      <c r="L16" s="7"/>
      <c r="M16" s="11">
        <v>1420.25</v>
      </c>
      <c r="N16" s="6"/>
      <c r="O16" s="5"/>
      <c r="P16" s="29"/>
      <c r="Q16" s="5">
        <f>IF(ISBLANK(IMTrans[[#This Row],[PO Number]]),"",IF(ISBLANK(IMTrans[[#This Row],[Recv Date]]),0,1))</f>
        <v>0</v>
      </c>
      <c r="R16" s="4"/>
    </row>
    <row r="17" spans="1:18" ht="15.6" x14ac:dyDescent="0.3">
      <c r="A17" s="5">
        <f>IF(ISBLANK(IMTrans[[#This Row],[OpCo2]]),"",COUNTA(IMTrans[[#This Row],[OpCo2]])-(COUNTA(IMTrans[[#This Row],[OpCo2]])-ROW(IMTrans[[#This Row],[OpCo2]])+1))</f>
        <v>16</v>
      </c>
      <c r="B17" s="5" t="s">
        <v>18</v>
      </c>
      <c r="C17" s="6" t="s">
        <v>2</v>
      </c>
      <c r="D17" s="6" t="s">
        <v>23</v>
      </c>
      <c r="E17" s="5" t="s">
        <v>112</v>
      </c>
      <c r="F17" s="18" t="s">
        <v>64</v>
      </c>
      <c r="G17" s="19" t="s">
        <v>64</v>
      </c>
      <c r="H17" s="5">
        <v>6</v>
      </c>
      <c r="I17" s="7">
        <v>45253</v>
      </c>
      <c r="J17" s="7"/>
      <c r="K17" s="22">
        <v>81194555</v>
      </c>
      <c r="L17" s="7">
        <v>45300</v>
      </c>
      <c r="M17" s="11">
        <v>738</v>
      </c>
      <c r="N17" s="33" t="s">
        <v>115</v>
      </c>
      <c r="O17" s="33" t="s">
        <v>117</v>
      </c>
      <c r="P17" s="29" t="s">
        <v>113</v>
      </c>
      <c r="Q17" s="5">
        <f>IF(ISBLANK(IMTrans[[#This Row],[PO Number]]),"",IF(ISBLANK(IMTrans[[#This Row],[Recv Date]]),0,1))</f>
        <v>1</v>
      </c>
      <c r="R17" s="4"/>
    </row>
    <row r="18" spans="1:18" ht="15.6" x14ac:dyDescent="0.3">
      <c r="A18" s="5">
        <f>IF(ISBLANK(IMTrans[[#This Row],[OpCo2]]),"",COUNTA(IMTrans[[#This Row],[OpCo2]])-(COUNTA(IMTrans[[#This Row],[OpCo2]])-ROW(IMTrans[[#This Row],[OpCo2]])+1))</f>
        <v>17</v>
      </c>
      <c r="B18" s="5" t="s">
        <v>18</v>
      </c>
      <c r="C18" s="6" t="s">
        <v>2</v>
      </c>
      <c r="D18" s="6" t="s">
        <v>23</v>
      </c>
      <c r="E18" s="5" t="s">
        <v>114</v>
      </c>
      <c r="F18" s="18" t="s">
        <v>64</v>
      </c>
      <c r="G18" s="19" t="s">
        <v>64</v>
      </c>
      <c r="H18" s="5">
        <v>6</v>
      </c>
      <c r="I18" s="7">
        <v>45100</v>
      </c>
      <c r="J18" s="7"/>
      <c r="K18" s="22">
        <v>81194555</v>
      </c>
      <c r="L18" s="7">
        <v>45297</v>
      </c>
      <c r="M18" s="11">
        <v>1181</v>
      </c>
      <c r="N18" s="6" t="s">
        <v>116</v>
      </c>
      <c r="O18" s="5">
        <v>71059729</v>
      </c>
      <c r="P18" s="29" t="s">
        <v>114</v>
      </c>
      <c r="Q18" s="5">
        <f>IF(ISBLANK(IMTrans[[#This Row],[PO Number]]),"",IF(ISBLANK(IMTrans[[#This Row],[Recv Date]]),0,1))</f>
        <v>1</v>
      </c>
      <c r="R18" s="4"/>
    </row>
    <row r="19" spans="1:18" ht="15.6" x14ac:dyDescent="0.3">
      <c r="A19" s="5">
        <f>IF(ISBLANK(IMTrans[[#This Row],[OpCo2]]),"",COUNTA(IMTrans[[#This Row],[OpCo2]])-(COUNTA(IMTrans[[#This Row],[OpCo2]])-ROW(IMTrans[[#This Row],[OpCo2]])+1))</f>
        <v>18</v>
      </c>
      <c r="B19" s="5" t="s">
        <v>18</v>
      </c>
      <c r="C19" s="6" t="s">
        <v>2</v>
      </c>
      <c r="D19" s="6" t="s">
        <v>1</v>
      </c>
      <c r="E19" s="5" t="s">
        <v>34</v>
      </c>
      <c r="F19" s="18">
        <v>56212787</v>
      </c>
      <c r="G19" s="19">
        <v>56212876</v>
      </c>
      <c r="H19" s="5">
        <v>90</v>
      </c>
      <c r="I19" s="7">
        <v>45019</v>
      </c>
      <c r="J19" s="7"/>
      <c r="K19" s="22">
        <v>81158194</v>
      </c>
      <c r="L19" s="7">
        <v>45371</v>
      </c>
      <c r="M19" s="11">
        <v>82.63</v>
      </c>
      <c r="N19" s="6" t="s">
        <v>33</v>
      </c>
      <c r="O19" s="5">
        <v>50070360</v>
      </c>
      <c r="P19" s="29" t="s">
        <v>34</v>
      </c>
      <c r="Q19" s="5">
        <f>IF(ISBLANK(IMTrans[[#This Row],[PO Number]]),"",IF(ISBLANK(IMTrans[[#This Row],[Recv Date]]),0,1))</f>
        <v>1</v>
      </c>
      <c r="R19" s="4"/>
    </row>
    <row r="20" spans="1:18" ht="15.6" x14ac:dyDescent="0.3">
      <c r="A20" s="5">
        <f>IF(ISBLANK(IMTrans[[#This Row],[OpCo2]]),"",COUNTA(IMTrans[[#This Row],[OpCo2]])-(COUNTA(IMTrans[[#This Row],[OpCo2]])-ROW(IMTrans[[#This Row],[OpCo2]])+1))</f>
        <v>19</v>
      </c>
      <c r="B20" s="5" t="s">
        <v>18</v>
      </c>
      <c r="C20" s="6" t="s">
        <v>2</v>
      </c>
      <c r="D20" s="6" t="s">
        <v>23</v>
      </c>
      <c r="E20" s="5" t="s">
        <v>139</v>
      </c>
      <c r="F20" s="18">
        <v>244976001</v>
      </c>
      <c r="G20" s="19">
        <v>244976003</v>
      </c>
      <c r="H20" s="5">
        <v>3</v>
      </c>
      <c r="I20" s="7">
        <v>45307</v>
      </c>
      <c r="J20" s="7"/>
      <c r="K20" s="22">
        <v>81272533</v>
      </c>
      <c r="L20" s="7">
        <v>26</v>
      </c>
      <c r="M20" s="11">
        <v>4571</v>
      </c>
      <c r="N20" s="6" t="s">
        <v>141</v>
      </c>
      <c r="O20" s="5">
        <v>71056043</v>
      </c>
      <c r="P20" s="29" t="s">
        <v>139</v>
      </c>
      <c r="Q20" s="5">
        <f>IF(ISBLANK(IMTrans[[#This Row],[PO Number]]),"",IF(ISBLANK(IMTrans[[#This Row],[Recv Date]]),0,1))</f>
        <v>1</v>
      </c>
      <c r="R20" s="4"/>
    </row>
    <row r="21" spans="1:18" ht="15.6" x14ac:dyDescent="0.3">
      <c r="A21" s="5">
        <f>IF(ISBLANK(IMTrans[[#This Row],[OpCo2]]),"",COUNTA(IMTrans[[#This Row],[OpCo2]])-(COUNTA(IMTrans[[#This Row],[OpCo2]])-ROW(IMTrans[[#This Row],[OpCo2]])+1))</f>
        <v>20</v>
      </c>
      <c r="B21" s="5" t="s">
        <v>18</v>
      </c>
      <c r="C21" s="6" t="s">
        <v>2</v>
      </c>
      <c r="D21" s="6" t="s">
        <v>1</v>
      </c>
      <c r="E21" s="5" t="s">
        <v>34</v>
      </c>
      <c r="F21" s="18">
        <v>56265893</v>
      </c>
      <c r="G21" s="19">
        <v>56265982</v>
      </c>
      <c r="H21" s="5">
        <v>90</v>
      </c>
      <c r="I21" s="7">
        <v>45090</v>
      </c>
      <c r="J21" s="7"/>
      <c r="K21" s="22">
        <v>81189408</v>
      </c>
      <c r="L21" s="7">
        <v>45412</v>
      </c>
      <c r="M21" s="11">
        <v>82.63</v>
      </c>
      <c r="N21" s="6" t="s">
        <v>33</v>
      </c>
      <c r="O21" s="5">
        <v>50070360</v>
      </c>
      <c r="P21" s="29" t="s">
        <v>34</v>
      </c>
      <c r="Q21" s="5">
        <f>IF(ISBLANK(IMTrans[[#This Row],[PO Number]]),"",IF(ISBLANK(IMTrans[[#This Row],[Recv Date]]),0,1))</f>
        <v>1</v>
      </c>
      <c r="R21" s="4"/>
    </row>
    <row r="22" spans="1:18" ht="15.6" x14ac:dyDescent="0.3">
      <c r="A22" s="5">
        <f>IF(ISBLANK(IMTrans[[#This Row],[OpCo2]]),"",COUNTA(IMTrans[[#This Row],[OpCo2]])-(COUNTA(IMTrans[[#This Row],[OpCo2]])-ROW(IMTrans[[#This Row],[OpCo2]])+1))</f>
        <v>21</v>
      </c>
      <c r="B22" s="5" t="s">
        <v>18</v>
      </c>
      <c r="C22" s="6" t="s">
        <v>2</v>
      </c>
      <c r="D22" s="6" t="s">
        <v>1</v>
      </c>
      <c r="E22" s="5" t="s">
        <v>27</v>
      </c>
      <c r="F22" s="20">
        <v>56225559</v>
      </c>
      <c r="G22" s="21">
        <v>56225648</v>
      </c>
      <c r="H22" s="5">
        <v>90</v>
      </c>
      <c r="I22" s="7">
        <v>45019</v>
      </c>
      <c r="J22" s="7"/>
      <c r="K22" s="22">
        <v>81158194</v>
      </c>
      <c r="L22" s="7">
        <v>45420</v>
      </c>
      <c r="M22" s="11">
        <v>82.63</v>
      </c>
      <c r="N22" s="6" t="s">
        <v>26</v>
      </c>
      <c r="O22" s="5">
        <v>71057111</v>
      </c>
      <c r="P22" s="29" t="s">
        <v>27</v>
      </c>
      <c r="Q22" s="5">
        <f>IF(ISBLANK(IMTrans[[#This Row],[PO Number]]),"",IF(ISBLANK(IMTrans[[#This Row],[Recv Date]]),0,1))</f>
        <v>1</v>
      </c>
      <c r="R22" s="4"/>
    </row>
    <row r="23" spans="1:18" ht="15.6" x14ac:dyDescent="0.3">
      <c r="A23" s="5">
        <f>IF(ISBLANK(IMTrans[[#This Row],[OpCo2]]),"",COUNTA(IMTrans[[#This Row],[OpCo2]])-(COUNTA(IMTrans[[#This Row],[OpCo2]])-ROW(IMTrans[[#This Row],[OpCo2]])+1))</f>
        <v>22</v>
      </c>
      <c r="B23" s="5" t="s">
        <v>18</v>
      </c>
      <c r="C23" s="6" t="s">
        <v>2</v>
      </c>
      <c r="D23" s="6" t="s">
        <v>1</v>
      </c>
      <c r="E23" s="5" t="s">
        <v>32</v>
      </c>
      <c r="F23" s="20">
        <v>56270086</v>
      </c>
      <c r="G23" s="21">
        <v>56270115</v>
      </c>
      <c r="H23" s="5">
        <v>30</v>
      </c>
      <c r="I23" s="7">
        <v>45019</v>
      </c>
      <c r="J23" s="7"/>
      <c r="K23" s="22">
        <v>81158194</v>
      </c>
      <c r="L23" s="7">
        <v>45447</v>
      </c>
      <c r="M23" s="11">
        <v>82.63</v>
      </c>
      <c r="N23" s="6" t="s">
        <v>31</v>
      </c>
      <c r="O23" s="5">
        <v>71059876</v>
      </c>
      <c r="P23" s="29" t="s">
        <v>32</v>
      </c>
      <c r="Q23" s="5">
        <f>IF(ISBLANK(IMTrans[[#This Row],[PO Number]]),"",IF(ISBLANK(IMTrans[[#This Row],[Recv Date]]),0,1))</f>
        <v>1</v>
      </c>
      <c r="R23" s="4"/>
    </row>
    <row r="24" spans="1:18" ht="15.6" x14ac:dyDescent="0.3">
      <c r="A24" s="5">
        <f>IF(ISBLANK(IMTrans[[#This Row],[OpCo2]]),"",COUNTA(IMTrans[[#This Row],[OpCo2]])-(COUNTA(IMTrans[[#This Row],[OpCo2]])-ROW(IMTrans[[#This Row],[OpCo2]])+1))</f>
        <v>23</v>
      </c>
      <c r="B24" s="5" t="s">
        <v>18</v>
      </c>
      <c r="C24" s="6" t="s">
        <v>2</v>
      </c>
      <c r="D24" s="6" t="s">
        <v>1</v>
      </c>
      <c r="E24" s="5" t="s">
        <v>32</v>
      </c>
      <c r="F24" s="18">
        <v>56270116</v>
      </c>
      <c r="G24" s="19">
        <v>56270175</v>
      </c>
      <c r="H24" s="5">
        <v>60</v>
      </c>
      <c r="I24" s="7">
        <v>45019</v>
      </c>
      <c r="J24" s="7"/>
      <c r="K24" s="22">
        <v>81158194</v>
      </c>
      <c r="L24" s="7">
        <v>45488</v>
      </c>
      <c r="M24" s="11">
        <v>82.63</v>
      </c>
      <c r="N24" s="6" t="s">
        <v>31</v>
      </c>
      <c r="O24" s="5">
        <v>71059876</v>
      </c>
      <c r="P24" s="29" t="s">
        <v>32</v>
      </c>
      <c r="Q24" s="5">
        <f>IF(ISBLANK(IMTrans[[#This Row],[PO Number]]),"",IF(ISBLANK(IMTrans[[#This Row],[Recv Date]]),0,1))</f>
        <v>1</v>
      </c>
      <c r="R24" s="4"/>
    </row>
    <row r="25" spans="1:18" ht="15.6" x14ac:dyDescent="0.3">
      <c r="A25" s="5">
        <f>IF(ISBLANK(IMTrans[[#This Row],[OpCo2]]),"",COUNTA(IMTrans[[#This Row],[OpCo2]])-(COUNTA(IMTrans[[#This Row],[OpCo2]])-ROW(IMTrans[[#This Row],[OpCo2]])+1))</f>
        <v>24</v>
      </c>
      <c r="B25" s="5" t="s">
        <v>18</v>
      </c>
      <c r="C25" s="6" t="s">
        <v>2</v>
      </c>
      <c r="D25" s="6" t="s">
        <v>24</v>
      </c>
      <c r="E25" s="5" t="s">
        <v>55</v>
      </c>
      <c r="F25" s="20" t="s">
        <v>171</v>
      </c>
      <c r="G25" s="21" t="s">
        <v>172</v>
      </c>
      <c r="H25" s="5">
        <v>90</v>
      </c>
      <c r="I25" s="7">
        <v>45317</v>
      </c>
      <c r="J25" s="7"/>
      <c r="K25" s="22">
        <v>81276917</v>
      </c>
      <c r="L25" s="7">
        <v>45497</v>
      </c>
      <c r="M25" s="11">
        <v>621.25</v>
      </c>
      <c r="N25" s="6" t="s">
        <v>54</v>
      </c>
      <c r="O25" s="5">
        <v>78105840</v>
      </c>
      <c r="P25" s="29" t="s">
        <v>56</v>
      </c>
      <c r="Q25" s="5">
        <f>IF(ISBLANK(IMTrans[[#This Row],[PO Number]]),"",IF(ISBLANK(IMTrans[[#This Row],[Recv Date]]),0,1))</f>
        <v>1</v>
      </c>
      <c r="R25" s="4"/>
    </row>
    <row r="26" spans="1:18" ht="15.6" x14ac:dyDescent="0.3">
      <c r="A26" s="5">
        <f>IF(ISBLANK(IMTrans[[#This Row],[OpCo2]]),"",COUNTA(IMTrans[[#This Row],[OpCo2]])-(COUNTA(IMTrans[[#This Row],[OpCo2]])-ROW(IMTrans[[#This Row],[OpCo2]])+1))</f>
        <v>25</v>
      </c>
      <c r="B26" s="5" t="s">
        <v>18</v>
      </c>
      <c r="C26" s="6" t="s">
        <v>2</v>
      </c>
      <c r="D26" s="6" t="s">
        <v>1</v>
      </c>
      <c r="E26" s="5" t="s">
        <v>27</v>
      </c>
      <c r="F26" s="23">
        <v>56315621</v>
      </c>
      <c r="G26" s="24">
        <v>56315710</v>
      </c>
      <c r="H26" s="5">
        <v>90</v>
      </c>
      <c r="I26" s="7">
        <v>45090</v>
      </c>
      <c r="J26" s="7"/>
      <c r="K26" s="22">
        <v>81189408</v>
      </c>
      <c r="L26" s="7">
        <v>45499</v>
      </c>
      <c r="M26" s="11">
        <v>82.63</v>
      </c>
      <c r="N26" s="6" t="s">
        <v>33</v>
      </c>
      <c r="O26" s="5">
        <v>50070360</v>
      </c>
      <c r="P26" s="29" t="s">
        <v>27</v>
      </c>
      <c r="Q26" s="5">
        <f>IF(ISBLANK(IMTrans[[#This Row],[PO Number]]),"",IF(ISBLANK(IMTrans[[#This Row],[Recv Date]]),0,1))</f>
        <v>1</v>
      </c>
      <c r="R26" s="4"/>
    </row>
    <row r="27" spans="1:18" ht="15.6" x14ac:dyDescent="0.3">
      <c r="A27" s="5">
        <f>IF(ISBLANK(IMTrans[[#This Row],[OpCo2]]),"",COUNTA(IMTrans[[#This Row],[OpCo2]])-(COUNTA(IMTrans[[#This Row],[OpCo2]])-ROW(IMTrans[[#This Row],[OpCo2]])+1))</f>
        <v>26</v>
      </c>
      <c r="B27" s="5" t="s">
        <v>18</v>
      </c>
      <c r="C27" s="6" t="s">
        <v>2</v>
      </c>
      <c r="D27" s="6" t="s">
        <v>1</v>
      </c>
      <c r="E27" s="5" t="s">
        <v>32</v>
      </c>
      <c r="F27" s="23">
        <v>56315711</v>
      </c>
      <c r="G27" s="24">
        <v>56315800</v>
      </c>
      <c r="H27" s="5">
        <v>90</v>
      </c>
      <c r="I27" s="7">
        <v>45090</v>
      </c>
      <c r="J27" s="7"/>
      <c r="K27" s="22">
        <v>81189408</v>
      </c>
      <c r="L27" s="7">
        <v>45506</v>
      </c>
      <c r="M27" s="11">
        <v>82.63</v>
      </c>
      <c r="N27" s="6" t="s">
        <v>31</v>
      </c>
      <c r="O27" s="5">
        <v>71059876</v>
      </c>
      <c r="P27" s="29" t="s">
        <v>32</v>
      </c>
      <c r="Q27" s="5">
        <f>IF(ISBLANK(IMTrans[[#This Row],[PO Number]]),"",IF(ISBLANK(IMTrans[[#This Row],[Recv Date]]),0,1))</f>
        <v>1</v>
      </c>
      <c r="R27" s="4"/>
    </row>
    <row r="28" spans="1:18" ht="15.6" x14ac:dyDescent="0.3">
      <c r="A28" s="5">
        <f>IF(ISBLANK(IMTrans[[#This Row],[OpCo2]]),"",COUNTA(IMTrans[[#This Row],[OpCo2]])-(COUNTA(IMTrans[[#This Row],[OpCo2]])-ROW(IMTrans[[#This Row],[OpCo2]])+1))</f>
        <v>27</v>
      </c>
      <c r="B28" s="5" t="s">
        <v>18</v>
      </c>
      <c r="C28" s="6" t="s">
        <v>2</v>
      </c>
      <c r="D28" s="6" t="s">
        <v>1</v>
      </c>
      <c r="E28" s="5" t="s">
        <v>40</v>
      </c>
      <c r="F28" s="23">
        <v>56298891</v>
      </c>
      <c r="G28" s="24">
        <v>56299070</v>
      </c>
      <c r="H28" s="5">
        <v>180</v>
      </c>
      <c r="I28" s="7">
        <v>44832</v>
      </c>
      <c r="J28" s="7"/>
      <c r="K28" s="22">
        <v>81070215</v>
      </c>
      <c r="L28" s="7">
        <v>45615</v>
      </c>
      <c r="M28" s="11">
        <v>70</v>
      </c>
      <c r="N28" s="6" t="s">
        <v>42</v>
      </c>
      <c r="O28" s="5">
        <v>50072367</v>
      </c>
      <c r="P28" s="29" t="s">
        <v>43</v>
      </c>
      <c r="Q28" s="5">
        <f>IF(ISBLANK(IMTrans[[#This Row],[PO Number]]),"",IF(ISBLANK(IMTrans[[#This Row],[Recv Date]]),0,1))</f>
        <v>1</v>
      </c>
      <c r="R28" s="4"/>
    </row>
    <row r="29" spans="1:18" ht="15.6" x14ac:dyDescent="0.3">
      <c r="A29" s="5">
        <f>IF(ISBLANK(IMTrans[[#This Row],[OpCo2]]),"",COUNTA(IMTrans[[#This Row],[OpCo2]])-(COUNTA(IMTrans[[#This Row],[OpCo2]])-ROW(IMTrans[[#This Row],[OpCo2]])+1))</f>
        <v>28</v>
      </c>
      <c r="B29" s="5" t="s">
        <v>18</v>
      </c>
      <c r="C29" s="6" t="s">
        <v>2</v>
      </c>
      <c r="D29" s="6" t="s">
        <v>22</v>
      </c>
      <c r="E29" s="5" t="s">
        <v>168</v>
      </c>
      <c r="F29" s="23">
        <v>3893312</v>
      </c>
      <c r="G29" s="24">
        <v>3893341</v>
      </c>
      <c r="H29" s="5">
        <v>30</v>
      </c>
      <c r="I29" s="7">
        <v>45572</v>
      </c>
      <c r="J29" s="7"/>
      <c r="K29" s="22">
        <v>81397457</v>
      </c>
      <c r="L29" s="7">
        <v>45649</v>
      </c>
      <c r="M29" s="11">
        <v>171.92</v>
      </c>
      <c r="N29" s="6" t="s">
        <v>169</v>
      </c>
      <c r="O29" s="5">
        <v>78105820</v>
      </c>
      <c r="P29" s="29" t="s">
        <v>165</v>
      </c>
      <c r="Q29" s="5">
        <f>IF(ISBLANK(IMTrans[[#This Row],[PO Number]]),"",IF(ISBLANK(IMTrans[[#This Row],[Recv Date]]),0,1))</f>
        <v>1</v>
      </c>
      <c r="R29" s="4"/>
    </row>
    <row r="30" spans="1:18" ht="15.6" x14ac:dyDescent="0.3">
      <c r="A30" s="5">
        <f>IF(ISBLANK(IMTrans[[#This Row],[OpCo2]]),"",COUNTA(IMTrans[[#This Row],[OpCo2]])-(COUNTA(IMTrans[[#This Row],[OpCo2]])-ROW(IMTrans[[#This Row],[OpCo2]])+1))</f>
        <v>29</v>
      </c>
      <c r="B30" s="5" t="s">
        <v>18</v>
      </c>
      <c r="C30" s="6" t="s">
        <v>2</v>
      </c>
      <c r="D30" s="6" t="s">
        <v>22</v>
      </c>
      <c r="E30" s="5" t="s">
        <v>61</v>
      </c>
      <c r="F30" s="23">
        <v>3893282</v>
      </c>
      <c r="G30" s="24">
        <v>3893311</v>
      </c>
      <c r="H30" s="5">
        <v>30</v>
      </c>
      <c r="I30" s="7">
        <v>45572</v>
      </c>
      <c r="J30" s="7"/>
      <c r="K30" s="22">
        <v>81397457</v>
      </c>
      <c r="L30" s="7">
        <v>45649</v>
      </c>
      <c r="M30" s="11">
        <v>170.86</v>
      </c>
      <c r="N30" s="6" t="s">
        <v>159</v>
      </c>
      <c r="O30" s="5">
        <v>50080568</v>
      </c>
      <c r="P30" s="29" t="s">
        <v>61</v>
      </c>
      <c r="Q30" s="5">
        <f>IF(ISBLANK(IMTrans[[#This Row],[PO Number]]),"",IF(ISBLANK(IMTrans[[#This Row],[Recv Date]]),0,1))</f>
        <v>1</v>
      </c>
      <c r="R30" s="4"/>
    </row>
    <row r="31" spans="1:18" ht="15.6" x14ac:dyDescent="0.3">
      <c r="A31" s="5">
        <f>IF(ISBLANK(IMTrans[[#This Row],[OpCo2]]),"",COUNTA(IMTrans[[#This Row],[OpCo2]])-(COUNTA(IMTrans[[#This Row],[OpCo2]])-ROW(IMTrans[[#This Row],[OpCo2]])+1))</f>
        <v>30</v>
      </c>
      <c r="B31" s="5" t="s">
        <v>18</v>
      </c>
      <c r="C31" s="6" t="s">
        <v>2</v>
      </c>
      <c r="D31" s="6" t="s">
        <v>1</v>
      </c>
      <c r="E31" s="5" t="s">
        <v>34</v>
      </c>
      <c r="F31" s="18">
        <v>56410880</v>
      </c>
      <c r="G31" s="19">
        <v>56410999</v>
      </c>
      <c r="H31" s="5">
        <v>120</v>
      </c>
      <c r="I31" s="7">
        <v>45622</v>
      </c>
      <c r="J31" s="7"/>
      <c r="K31" s="22">
        <v>81415609</v>
      </c>
      <c r="L31" s="7">
        <v>45653</v>
      </c>
      <c r="M31" s="11">
        <v>102.7</v>
      </c>
      <c r="N31" s="6" t="s">
        <v>33</v>
      </c>
      <c r="O31" s="5">
        <v>50070360</v>
      </c>
      <c r="P31" s="29" t="s">
        <v>34</v>
      </c>
      <c r="Q31" s="5">
        <f>IF(ISBLANK(IMTrans[[#This Row],[PO Number]]),"",IF(ISBLANK(IMTrans[[#This Row],[Recv Date]]),0,1))</f>
        <v>1</v>
      </c>
      <c r="R31" s="4"/>
    </row>
    <row r="32" spans="1:18" ht="15.6" x14ac:dyDescent="0.3">
      <c r="A32" s="5">
        <f>IF(ISBLANK(IMTrans[[#This Row],[OpCo2]]),"",COUNTA(IMTrans[[#This Row],[OpCo2]])-(COUNTA(IMTrans[[#This Row],[OpCo2]])-ROW(IMTrans[[#This Row],[OpCo2]])+1))</f>
        <v>31</v>
      </c>
      <c r="B32" s="5" t="s">
        <v>18</v>
      </c>
      <c r="C32" s="6" t="s">
        <v>2</v>
      </c>
      <c r="D32" s="6" t="s">
        <v>1</v>
      </c>
      <c r="E32" s="5" t="s">
        <v>32</v>
      </c>
      <c r="F32" s="18">
        <v>56409119</v>
      </c>
      <c r="G32" s="19">
        <v>56409208</v>
      </c>
      <c r="H32" s="5">
        <v>90</v>
      </c>
      <c r="I32" s="7">
        <v>45622</v>
      </c>
      <c r="J32" s="7"/>
      <c r="K32" s="22">
        <v>81415609</v>
      </c>
      <c r="L32" s="7">
        <v>45686</v>
      </c>
      <c r="M32" s="11">
        <v>120.28</v>
      </c>
      <c r="N32" s="6" t="s">
        <v>31</v>
      </c>
      <c r="O32" s="5">
        <v>71059876</v>
      </c>
      <c r="P32" s="29" t="s">
        <v>32</v>
      </c>
      <c r="Q32" s="5">
        <f>IF(ISBLANK(IMTrans[[#This Row],[PO Number]]),"",IF(ISBLANK(IMTrans[[#This Row],[Recv Date]]),0,1))</f>
        <v>1</v>
      </c>
      <c r="R32" s="4"/>
    </row>
    <row r="33" spans="1:18" ht="15.6" x14ac:dyDescent="0.3">
      <c r="A33" s="5">
        <f>IF(ISBLANK(IMTrans[[#This Row],[OpCo2]]),"",COUNTA(IMTrans[[#This Row],[OpCo2]])-(COUNTA(IMTrans[[#This Row],[OpCo2]])-ROW(IMTrans[[#This Row],[OpCo2]])+1))</f>
        <v>32</v>
      </c>
      <c r="B33" s="5" t="s">
        <v>18</v>
      </c>
      <c r="C33" s="6" t="s">
        <v>2</v>
      </c>
      <c r="D33" s="6" t="s">
        <v>23</v>
      </c>
      <c r="E33" s="5" t="s">
        <v>67</v>
      </c>
      <c r="F33" s="18">
        <v>243150001</v>
      </c>
      <c r="G33" s="19">
        <v>243150012</v>
      </c>
      <c r="H33" s="5">
        <v>12</v>
      </c>
      <c r="I33" s="7">
        <v>45589</v>
      </c>
      <c r="J33" s="7"/>
      <c r="K33" s="22">
        <v>81403740</v>
      </c>
      <c r="L33" s="7">
        <v>45688</v>
      </c>
      <c r="M33" s="11">
        <v>1472</v>
      </c>
      <c r="N33" s="6" t="s">
        <v>103</v>
      </c>
      <c r="O33" s="5">
        <v>71059899</v>
      </c>
      <c r="P33" s="29" t="s">
        <v>67</v>
      </c>
      <c r="Q33" s="5">
        <f>IF(ISBLANK(IMTrans[[#This Row],[PO Number]]),"",IF(ISBLANK(IMTrans[[#This Row],[Recv Date]]),0,1))</f>
        <v>1</v>
      </c>
      <c r="R33" s="4"/>
    </row>
    <row r="34" spans="1:18" ht="15.6" x14ac:dyDescent="0.3">
      <c r="A34" s="5">
        <f>IF(ISBLANK(IMTrans[[#This Row],[OpCo2]]),"",COUNTA(IMTrans[[#This Row],[OpCo2]])-(COUNTA(IMTrans[[#This Row],[OpCo2]])-ROW(IMTrans[[#This Row],[OpCo2]])+1))</f>
        <v>33</v>
      </c>
      <c r="B34" s="5" t="s">
        <v>18</v>
      </c>
      <c r="C34" s="6" t="s">
        <v>2</v>
      </c>
      <c r="D34" s="6" t="s">
        <v>1</v>
      </c>
      <c r="E34" s="5" t="s">
        <v>40</v>
      </c>
      <c r="F34" s="18">
        <v>56320559</v>
      </c>
      <c r="G34" s="19">
        <v>56320648</v>
      </c>
      <c r="H34" s="5">
        <v>90</v>
      </c>
      <c r="I34" s="7">
        <v>45019</v>
      </c>
      <c r="J34" s="7"/>
      <c r="K34" s="22">
        <v>81158194</v>
      </c>
      <c r="L34" s="7">
        <v>45719</v>
      </c>
      <c r="M34" s="11">
        <v>85.62</v>
      </c>
      <c r="N34" s="6" t="s">
        <v>42</v>
      </c>
      <c r="O34" s="5">
        <v>50072367</v>
      </c>
      <c r="P34" s="29" t="s">
        <v>43</v>
      </c>
      <c r="Q34" s="5">
        <f>IF(ISBLANK(IMTrans[[#This Row],[PO Number]]),"",IF(ISBLANK(IMTrans[[#This Row],[Recv Date]]),0,1))</f>
        <v>1</v>
      </c>
      <c r="R34" s="4"/>
    </row>
    <row r="35" spans="1:18" ht="15.6" x14ac:dyDescent="0.3">
      <c r="A35" s="5">
        <f>IF(ISBLANK(IMTrans[[#This Row],[OpCo2]]),"",COUNTA(IMTrans[[#This Row],[OpCo2]])-(COUNTA(IMTrans[[#This Row],[OpCo2]])-ROW(IMTrans[[#This Row],[OpCo2]])+1))</f>
        <v>34</v>
      </c>
      <c r="B35" s="5" t="s">
        <v>18</v>
      </c>
      <c r="C35" s="6" t="s">
        <v>2</v>
      </c>
      <c r="D35" s="6" t="s">
        <v>24</v>
      </c>
      <c r="E35" s="5" t="s">
        <v>55</v>
      </c>
      <c r="F35" s="20" t="s">
        <v>187</v>
      </c>
      <c r="G35" s="21" t="s">
        <v>188</v>
      </c>
      <c r="H35" s="5">
        <v>90</v>
      </c>
      <c r="I35" s="7">
        <v>45590</v>
      </c>
      <c r="J35" s="7"/>
      <c r="K35" s="22">
        <v>81404394</v>
      </c>
      <c r="L35" s="7">
        <v>45729</v>
      </c>
      <c r="M35" s="11">
        <v>621.25</v>
      </c>
      <c r="N35" s="6" t="s">
        <v>54</v>
      </c>
      <c r="O35" s="5">
        <v>78105840</v>
      </c>
      <c r="P35" s="29" t="s">
        <v>56</v>
      </c>
      <c r="Q35" s="5">
        <f>IF(ISBLANK(IMTrans[[#This Row],[PO Number]]),"",IF(ISBLANK(IMTrans[[#This Row],[Recv Date]]),0,1))</f>
        <v>1</v>
      </c>
      <c r="R35" s="4"/>
    </row>
    <row r="36" spans="1:18" ht="15.6" x14ac:dyDescent="0.3">
      <c r="A36" s="5">
        <f>IF(ISBLANK(IMTrans[[#This Row],[OpCo2]]),"",COUNTA(IMTrans[[#This Row],[OpCo2]])-(COUNTA(IMTrans[[#This Row],[OpCo2]])-ROW(IMTrans[[#This Row],[OpCo2]])+1))</f>
        <v>35</v>
      </c>
      <c r="B36" s="5" t="s">
        <v>18</v>
      </c>
      <c r="C36" s="6" t="s">
        <v>2</v>
      </c>
      <c r="D36" s="6" t="s">
        <v>1</v>
      </c>
      <c r="E36" s="5" t="s">
        <v>47</v>
      </c>
      <c r="F36" s="23">
        <v>56438635</v>
      </c>
      <c r="G36" s="24">
        <v>56438724</v>
      </c>
      <c r="H36" s="5">
        <v>90</v>
      </c>
      <c r="I36" s="7">
        <v>45019</v>
      </c>
      <c r="J36" s="7"/>
      <c r="K36" s="22">
        <v>81158194</v>
      </c>
      <c r="L36" s="7">
        <v>45756</v>
      </c>
      <c r="M36" s="11">
        <v>85.62</v>
      </c>
      <c r="N36" s="6" t="s">
        <v>46</v>
      </c>
      <c r="O36" s="5">
        <v>71059877</v>
      </c>
      <c r="P36" s="29" t="s">
        <v>47</v>
      </c>
      <c r="Q36" s="5">
        <f>IF(ISBLANK(IMTrans[[#This Row],[PO Number]]),"",IF(ISBLANK(IMTrans[[#This Row],[Recv Date]]),0,1))</f>
        <v>1</v>
      </c>
      <c r="R36" s="4"/>
    </row>
    <row r="37" spans="1:18" ht="15.6" x14ac:dyDescent="0.3">
      <c r="A37" s="5">
        <f>IF(ISBLANK(IMTrans[[#This Row],[OpCo2]]),"",COUNTA(IMTrans[[#This Row],[OpCo2]])-(COUNTA(IMTrans[[#This Row],[OpCo2]])-ROW(IMTrans[[#This Row],[OpCo2]])+1))</f>
        <v>36</v>
      </c>
      <c r="B37" s="5" t="s">
        <v>18</v>
      </c>
      <c r="C37" s="6" t="s">
        <v>2</v>
      </c>
      <c r="D37" s="6" t="s">
        <v>1</v>
      </c>
      <c r="E37" s="5" t="s">
        <v>34</v>
      </c>
      <c r="F37" s="23">
        <v>56479848</v>
      </c>
      <c r="G37" s="24">
        <v>56479937</v>
      </c>
      <c r="H37" s="5">
        <v>90</v>
      </c>
      <c r="I37" s="7">
        <v>45736</v>
      </c>
      <c r="J37" s="7"/>
      <c r="K37" s="22">
        <v>81837691</v>
      </c>
      <c r="L37" s="7">
        <v>45789</v>
      </c>
      <c r="M37" s="11">
        <v>103.65</v>
      </c>
      <c r="N37" s="6" t="s">
        <v>33</v>
      </c>
      <c r="O37" s="5">
        <v>50070360</v>
      </c>
      <c r="P37" s="29" t="s">
        <v>34</v>
      </c>
      <c r="Q37" s="5">
        <f>IF(ISBLANK(IMTrans[[#This Row],[PO Number]]),"",IF(ISBLANK(IMTrans[[#This Row],[Recv Date]]),0,1))</f>
        <v>1</v>
      </c>
      <c r="R37" s="5"/>
    </row>
    <row r="38" spans="1:18" ht="15.6" x14ac:dyDescent="0.3">
      <c r="A38" s="5">
        <f>IF(ISBLANK(IMTrans[[#This Row],[OpCo2]]),"",COUNTA(IMTrans[[#This Row],[OpCo2]])-(COUNTA(IMTrans[[#This Row],[OpCo2]])-ROW(IMTrans[[#This Row],[OpCo2]])+1))</f>
        <v>37</v>
      </c>
      <c r="B38" s="5" t="s">
        <v>18</v>
      </c>
      <c r="C38" s="6" t="s">
        <v>2</v>
      </c>
      <c r="D38" s="6" t="s">
        <v>1</v>
      </c>
      <c r="E38" s="5" t="s">
        <v>195</v>
      </c>
      <c r="F38" s="23">
        <v>56479643</v>
      </c>
      <c r="G38" s="24">
        <v>56479762</v>
      </c>
      <c r="H38" s="5">
        <v>120</v>
      </c>
      <c r="I38" s="7">
        <v>45736</v>
      </c>
      <c r="J38" s="7"/>
      <c r="K38" s="22">
        <v>81837691</v>
      </c>
      <c r="L38" s="7">
        <v>45789</v>
      </c>
      <c r="M38" s="11">
        <v>121.21</v>
      </c>
      <c r="N38" s="6" t="s">
        <v>26</v>
      </c>
      <c r="O38" s="5">
        <v>71057111</v>
      </c>
      <c r="P38" s="29" t="s">
        <v>27</v>
      </c>
      <c r="Q38" s="5">
        <f>IF(ISBLANK(IMTrans[[#This Row],[PO Number]]),"",IF(ISBLANK(IMTrans[[#This Row],[Recv Date]]),0,1))</f>
        <v>1</v>
      </c>
      <c r="R38" s="5"/>
    </row>
    <row r="39" spans="1:18" ht="15.6" x14ac:dyDescent="0.3">
      <c r="A39" s="5">
        <f>IF(ISBLANK(IMTrans[[#This Row],[OpCo2]]),"",COUNTA(IMTrans[[#This Row],[OpCo2]])-(COUNTA(IMTrans[[#This Row],[OpCo2]])-ROW(IMTrans[[#This Row],[OpCo2]])+1))</f>
        <v>38</v>
      </c>
      <c r="B39" s="5" t="s">
        <v>18</v>
      </c>
      <c r="C39" s="6" t="s">
        <v>2</v>
      </c>
      <c r="D39" s="6" t="s">
        <v>24</v>
      </c>
      <c r="E39" s="5" t="s">
        <v>163</v>
      </c>
      <c r="F39" s="23" t="s">
        <v>197</v>
      </c>
      <c r="G39" s="24" t="s">
        <v>198</v>
      </c>
      <c r="H39" s="5">
        <v>90</v>
      </c>
      <c r="I39" s="7">
        <v>45630</v>
      </c>
      <c r="J39" s="7"/>
      <c r="K39" s="22">
        <v>81418963</v>
      </c>
      <c r="L39" s="7">
        <v>45796</v>
      </c>
      <c r="M39" s="11">
        <v>530.5</v>
      </c>
      <c r="N39" s="6" t="s">
        <v>162</v>
      </c>
      <c r="O39" s="5">
        <v>50059664</v>
      </c>
      <c r="P39" s="29" t="s">
        <v>164</v>
      </c>
      <c r="Q39" s="5">
        <f>IF(ISBLANK(IMTrans[[#This Row],[PO Number]]),"",IF(ISBLANK(IMTrans[[#This Row],[Recv Date]]),0,1))</f>
        <v>1</v>
      </c>
      <c r="R39" s="5"/>
    </row>
    <row r="40" spans="1:18" ht="15.6" x14ac:dyDescent="0.3">
      <c r="A40" s="5">
        <f>IF(ISBLANK(IMTrans[[#This Row],[OpCo2]]),"",COUNTA(IMTrans[[#This Row],[OpCo2]])-(COUNTA(IMTrans[[#This Row],[OpCo2]])-ROW(IMTrans[[#This Row],[OpCo2]])+1))</f>
        <v>39</v>
      </c>
      <c r="B40" s="5" t="s">
        <v>18</v>
      </c>
      <c r="C40" s="6" t="s">
        <v>2</v>
      </c>
      <c r="D40" s="6" t="s">
        <v>1</v>
      </c>
      <c r="E40" s="5" t="s">
        <v>32</v>
      </c>
      <c r="F40" s="23">
        <v>56492551</v>
      </c>
      <c r="G40" s="24">
        <v>56492670</v>
      </c>
      <c r="H40" s="5">
        <v>120</v>
      </c>
      <c r="I40" s="7">
        <v>45736</v>
      </c>
      <c r="J40" s="7"/>
      <c r="K40" s="22">
        <v>81837691</v>
      </c>
      <c r="L40" s="7">
        <v>45802</v>
      </c>
      <c r="M40" s="11">
        <v>121.21</v>
      </c>
      <c r="N40" s="6" t="s">
        <v>31</v>
      </c>
      <c r="O40" s="5">
        <v>71059876</v>
      </c>
      <c r="P40" s="29" t="s">
        <v>32</v>
      </c>
      <c r="Q40" s="5">
        <f>IF(ISBLANK(IMTrans[[#This Row],[PO Number]]),"",IF(ISBLANK(IMTrans[[#This Row],[Recv Date]]),0,1))</f>
        <v>1</v>
      </c>
      <c r="R40" s="5"/>
    </row>
    <row r="41" spans="1:18" ht="15.6" x14ac:dyDescent="0.3">
      <c r="A41" s="5">
        <f>IF(ISBLANK(IMTrans[[#This Row],[OpCo2]]),"",COUNTA(IMTrans[[#This Row],[OpCo2]])-(COUNTA(IMTrans[[#This Row],[OpCo2]])-ROW(IMTrans[[#This Row],[OpCo2]])+1))</f>
        <v>40</v>
      </c>
      <c r="B41" s="5" t="s">
        <v>18</v>
      </c>
      <c r="C41" s="6" t="s">
        <v>2</v>
      </c>
      <c r="D41" s="6" t="s">
        <v>1</v>
      </c>
      <c r="E41" s="5" t="s">
        <v>16</v>
      </c>
      <c r="F41" s="23">
        <v>56467424</v>
      </c>
      <c r="G41" s="24">
        <v>56467513</v>
      </c>
      <c r="H41" s="5">
        <v>90</v>
      </c>
      <c r="I41" s="7">
        <v>45019</v>
      </c>
      <c r="J41" s="7"/>
      <c r="K41" s="22">
        <v>81158193</v>
      </c>
      <c r="L41" s="7">
        <v>45849</v>
      </c>
      <c r="M41" s="11">
        <v>73.44</v>
      </c>
      <c r="N41" s="6" t="s">
        <v>19</v>
      </c>
      <c r="O41" s="5">
        <v>78100875</v>
      </c>
      <c r="P41" s="82" t="s">
        <v>20</v>
      </c>
      <c r="Q41" s="5">
        <f>IF(ISBLANK(IMTrans[[#This Row],[PO Number]]),"",IF(ISBLANK(IMTrans[[#This Row],[Recv Date]]),0,1))</f>
        <v>1</v>
      </c>
      <c r="R41" s="5"/>
    </row>
    <row r="42" spans="1:18" ht="15.6" x14ac:dyDescent="0.3">
      <c r="A42" s="5">
        <f>IF(ISBLANK(IMTrans[[#This Row],[OpCo2]]),"",COUNTA(IMTrans[[#This Row],[OpCo2]])-(COUNTA(IMTrans[[#This Row],[OpCo2]])-ROW(IMTrans[[#This Row],[OpCo2]])+1))</f>
        <v>41</v>
      </c>
      <c r="B42" s="5" t="s">
        <v>18</v>
      </c>
      <c r="C42" s="6" t="s">
        <v>2</v>
      </c>
      <c r="D42" s="6" t="s">
        <v>23</v>
      </c>
      <c r="E42" s="31" t="s">
        <v>67</v>
      </c>
      <c r="F42" s="23">
        <v>259977001</v>
      </c>
      <c r="G42" s="55">
        <v>259977012</v>
      </c>
      <c r="H42" s="5">
        <v>12</v>
      </c>
      <c r="I42" s="7">
        <v>45776</v>
      </c>
      <c r="J42" s="7"/>
      <c r="K42" s="22">
        <v>81873458</v>
      </c>
      <c r="L42" s="7">
        <v>45855</v>
      </c>
      <c r="M42" s="11">
        <v>1472</v>
      </c>
      <c r="N42" s="6" t="s">
        <v>103</v>
      </c>
      <c r="O42" s="5">
        <v>71059899</v>
      </c>
      <c r="P42" s="29" t="s">
        <v>67</v>
      </c>
      <c r="Q42" s="5">
        <f>IF(ISBLANK(IMTrans[[#This Row],[PO Number]]),"",IF(ISBLANK(IMTrans[[#This Row],[Recv Date]]),0,1))</f>
        <v>1</v>
      </c>
      <c r="R42" s="5"/>
    </row>
    <row r="43" spans="1:18" ht="15.6" x14ac:dyDescent="0.3">
      <c r="A43" s="5">
        <f>IF(ISBLANK(IMTrans[[#This Row],[OpCo2]]),"",COUNTA(IMTrans[[#This Row],[OpCo2]])-(COUNTA(IMTrans[[#This Row],[OpCo2]])-ROW(IMTrans[[#This Row],[OpCo2]])+1))</f>
        <v>42</v>
      </c>
      <c r="B43" s="5" t="s">
        <v>18</v>
      </c>
      <c r="C43" s="6" t="s">
        <v>2</v>
      </c>
      <c r="D43" s="6" t="s">
        <v>24</v>
      </c>
      <c r="E43" s="31" t="s">
        <v>55</v>
      </c>
      <c r="F43" s="23" t="s">
        <v>202</v>
      </c>
      <c r="G43" s="55" t="s">
        <v>201</v>
      </c>
      <c r="H43" s="5">
        <v>90</v>
      </c>
      <c r="I43" s="7">
        <v>45736</v>
      </c>
      <c r="J43" s="7"/>
      <c r="K43" s="22">
        <v>81838373</v>
      </c>
      <c r="L43" s="7">
        <v>45866</v>
      </c>
      <c r="M43" s="11">
        <v>621.25</v>
      </c>
      <c r="N43" s="6" t="s">
        <v>54</v>
      </c>
      <c r="O43" s="5">
        <v>78105840</v>
      </c>
      <c r="P43" s="29" t="s">
        <v>56</v>
      </c>
      <c r="Q43" s="5">
        <f>IF(ISBLANK(IMTrans[[#This Row],[PO Number]]),"",IF(ISBLANK(IMTrans[[#This Row],[Recv Date]]),0,1))</f>
        <v>1</v>
      </c>
      <c r="R43" s="5"/>
    </row>
    <row r="44" spans="1:18" ht="15.6" x14ac:dyDescent="0.3">
      <c r="A44" s="5">
        <f>IF(ISBLANK(IMTrans[[#This Row],[OpCo2]]),"",COUNTA(IMTrans[[#This Row],[OpCo2]])-(COUNTA(IMTrans[[#This Row],[OpCo2]])-ROW(IMTrans[[#This Row],[OpCo2]])+1))</f>
        <v>43</v>
      </c>
      <c r="B44" s="5" t="s">
        <v>18</v>
      </c>
      <c r="C44" s="6" t="s">
        <v>2</v>
      </c>
      <c r="D44" s="6" t="s">
        <v>1</v>
      </c>
      <c r="E44" s="5" t="s">
        <v>34</v>
      </c>
      <c r="F44" s="23">
        <v>56574318</v>
      </c>
      <c r="G44" s="24">
        <v>56574407</v>
      </c>
      <c r="H44" s="5">
        <v>90</v>
      </c>
      <c r="I44" s="7">
        <v>45869</v>
      </c>
      <c r="J44" s="7"/>
      <c r="K44" s="22">
        <v>81959700</v>
      </c>
      <c r="L44" s="7">
        <v>45929</v>
      </c>
      <c r="M44" s="11">
        <v>105.01</v>
      </c>
      <c r="N44" s="6" t="s">
        <v>33</v>
      </c>
      <c r="O44" s="5">
        <v>50070360</v>
      </c>
      <c r="P44" s="29" t="s">
        <v>34</v>
      </c>
      <c r="Q44" s="5">
        <f>IF(ISBLANK(IMTrans[[#This Row],[PO Number]]),"",IF(ISBLANK(IMTrans[[#This Row],[Recv Date]]),0,1))</f>
        <v>1</v>
      </c>
      <c r="R44" s="5"/>
    </row>
    <row r="45" spans="1:18" ht="15.6" x14ac:dyDescent="0.3">
      <c r="A45" s="5">
        <f>IF(ISBLANK(IMTrans[[#This Row],[OpCo2]]),"",COUNTA(IMTrans[[#This Row],[OpCo2]])-(COUNTA(IMTrans[[#This Row],[OpCo2]])-ROW(IMTrans[[#This Row],[OpCo2]])+1))</f>
        <v>44</v>
      </c>
      <c r="B45" s="5" t="s">
        <v>18</v>
      </c>
      <c r="C45" s="6" t="s">
        <v>2</v>
      </c>
      <c r="D45" s="6" t="s">
        <v>1</v>
      </c>
      <c r="E45" s="5" t="s">
        <v>27</v>
      </c>
      <c r="F45" s="23">
        <v>56574074</v>
      </c>
      <c r="G45" s="24">
        <v>56574163</v>
      </c>
      <c r="H45" s="5">
        <v>90</v>
      </c>
      <c r="I45" s="7">
        <v>45869</v>
      </c>
      <c r="J45" s="7"/>
      <c r="K45" s="22">
        <v>81959700</v>
      </c>
      <c r="L45" s="7">
        <v>45929</v>
      </c>
      <c r="M45" s="11">
        <v>122.57</v>
      </c>
      <c r="N45" s="6" t="s">
        <v>26</v>
      </c>
      <c r="O45" s="5">
        <v>71057111</v>
      </c>
      <c r="P45" s="29" t="s">
        <v>27</v>
      </c>
      <c r="Q45" s="5">
        <f>IF(ISBLANK(IMTrans[[#This Row],[PO Number]]),"",IF(ISBLANK(IMTrans[[#This Row],[Recv Date]]),0,1))</f>
        <v>1</v>
      </c>
      <c r="R45" s="5"/>
    </row>
    <row r="46" spans="1:18" ht="15.6" x14ac:dyDescent="0.3">
      <c r="A46" s="5">
        <f>IF(ISBLANK(IMTrans[[#This Row],[OpCo2]]),"",COUNTA(IMTrans[[#This Row],[OpCo2]])-(COUNTA(IMTrans[[#This Row],[OpCo2]])-ROW(IMTrans[[#This Row],[OpCo2]])+1))</f>
        <v>45</v>
      </c>
      <c r="B46" s="5" t="s">
        <v>18</v>
      </c>
      <c r="C46" s="6" t="s">
        <v>2</v>
      </c>
      <c r="D46" s="6" t="s">
        <v>1</v>
      </c>
      <c r="E46" s="5" t="s">
        <v>32</v>
      </c>
      <c r="F46" s="23">
        <v>56572464</v>
      </c>
      <c r="G46" s="24">
        <v>56572553</v>
      </c>
      <c r="H46" s="5">
        <v>90</v>
      </c>
      <c r="I46" s="7">
        <v>45869</v>
      </c>
      <c r="J46" s="7"/>
      <c r="K46" s="22">
        <v>81959700</v>
      </c>
      <c r="L46" s="7">
        <v>45929</v>
      </c>
      <c r="M46" s="11">
        <v>122.57</v>
      </c>
      <c r="N46" s="6" t="s">
        <v>31</v>
      </c>
      <c r="O46" s="5">
        <v>71059876</v>
      </c>
      <c r="P46" s="29" t="s">
        <v>32</v>
      </c>
      <c r="Q46" s="5">
        <f>IF(ISBLANK(IMTrans[[#This Row],[PO Number]]),"",IF(ISBLANK(IMTrans[[#This Row],[Recv Date]]),0,1))</f>
        <v>1</v>
      </c>
      <c r="R46" s="5"/>
    </row>
    <row r="47" spans="1:18" ht="15.6" x14ac:dyDescent="0.3">
      <c r="A47" s="5">
        <f>IF(ISBLANK(IMTrans[[#This Row],[OpCo2]]),"",COUNTA(IMTrans[[#This Row],[OpCo2]])-(COUNTA(IMTrans[[#This Row],[OpCo2]])-ROW(IMTrans[[#This Row],[OpCo2]])+1))</f>
        <v>46</v>
      </c>
      <c r="B47" s="5" t="s">
        <v>18</v>
      </c>
      <c r="C47" s="6" t="s">
        <v>2</v>
      </c>
      <c r="D47" s="6" t="s">
        <v>24</v>
      </c>
      <c r="E47" s="5" t="s">
        <v>55</v>
      </c>
      <c r="F47" s="23" t="s">
        <v>209</v>
      </c>
      <c r="G47" s="24" t="s">
        <v>210</v>
      </c>
      <c r="H47" s="5">
        <v>90</v>
      </c>
      <c r="I47" s="7">
        <v>45776</v>
      </c>
      <c r="J47" s="7"/>
      <c r="K47" s="22">
        <v>81873503</v>
      </c>
      <c r="L47" s="7">
        <v>45929</v>
      </c>
      <c r="M47" s="11">
        <v>621.25</v>
      </c>
      <c r="N47" s="6" t="s">
        <v>54</v>
      </c>
      <c r="O47" s="5">
        <v>78105840</v>
      </c>
      <c r="P47" s="29" t="s">
        <v>56</v>
      </c>
      <c r="Q47" s="5">
        <f>IF(ISBLANK(IMTrans[[#This Row],[PO Number]]),"",IF(ISBLANK(IMTrans[[#This Row],[Recv Date]]),0,1))</f>
        <v>1</v>
      </c>
      <c r="R47" s="5"/>
    </row>
    <row r="48" spans="1:18" ht="15.6" x14ac:dyDescent="0.3">
      <c r="A48" s="5">
        <f>IF(ISBLANK(IMTrans[[#This Row],[OpCo2]]),"",COUNTA(IMTrans[[#This Row],[OpCo2]])-(COUNTA(IMTrans[[#This Row],[OpCo2]])-ROW(IMTrans[[#This Row],[OpCo2]])+1))</f>
        <v>47</v>
      </c>
      <c r="B48" s="5" t="s">
        <v>18</v>
      </c>
      <c r="C48" s="6" t="s">
        <v>2</v>
      </c>
      <c r="D48" s="6" t="s">
        <v>1</v>
      </c>
      <c r="E48" s="5" t="s">
        <v>27</v>
      </c>
      <c r="F48" s="23">
        <v>56575759</v>
      </c>
      <c r="G48" s="24">
        <v>56575848</v>
      </c>
      <c r="H48" s="5">
        <v>90</v>
      </c>
      <c r="I48" s="7">
        <v>45590</v>
      </c>
      <c r="J48" s="7"/>
      <c r="K48" s="22">
        <v>81404191</v>
      </c>
      <c r="L48" s="7">
        <v>45937</v>
      </c>
      <c r="M48" s="11">
        <v>120.28</v>
      </c>
      <c r="N48" s="6" t="s">
        <v>26</v>
      </c>
      <c r="O48" s="5">
        <v>71057111</v>
      </c>
      <c r="P48" s="29" t="s">
        <v>27</v>
      </c>
      <c r="Q48" s="5">
        <f>IF(ISBLANK(IMTrans[[#This Row],[PO Number]]),"",IF(ISBLANK(IMTrans[[#This Row],[Recv Date]]),0,1))</f>
        <v>1</v>
      </c>
      <c r="R48" s="5"/>
    </row>
    <row r="49" spans="1:18" ht="15.6" x14ac:dyDescent="0.3">
      <c r="A49" s="5">
        <f>IF(ISBLANK(IMTrans[[#This Row],[OpCo2]]),"",COUNTA(IMTrans[[#This Row],[OpCo2]])-(COUNTA(IMTrans[[#This Row],[OpCo2]])-ROW(IMTrans[[#This Row],[OpCo2]])+1))</f>
        <v>48</v>
      </c>
      <c r="B49" s="5" t="s">
        <v>18</v>
      </c>
      <c r="C49" s="6" t="s">
        <v>2</v>
      </c>
      <c r="D49" s="6" t="s">
        <v>24</v>
      </c>
      <c r="E49" s="5" t="s">
        <v>55</v>
      </c>
      <c r="F49" s="23" t="s">
        <v>211</v>
      </c>
      <c r="G49" s="24" t="s">
        <v>212</v>
      </c>
      <c r="H49" s="5">
        <v>90</v>
      </c>
      <c r="I49" s="7">
        <v>45854</v>
      </c>
      <c r="J49" s="7"/>
      <c r="K49" s="22">
        <v>81950456</v>
      </c>
      <c r="L49" s="7">
        <v>45978</v>
      </c>
      <c r="M49" s="11">
        <v>621.25</v>
      </c>
      <c r="N49" s="6" t="s">
        <v>54</v>
      </c>
      <c r="O49" s="5">
        <v>78105840</v>
      </c>
      <c r="P49" s="29" t="s">
        <v>56</v>
      </c>
      <c r="Q49" s="5">
        <f>IF(ISBLANK(IMTrans[[#This Row],[PO Number]]),"",IF(ISBLANK(IMTrans[[#This Row],[Recv Date]]),0,1))</f>
        <v>1</v>
      </c>
      <c r="R49" s="5"/>
    </row>
    <row r="50" spans="1:18" ht="15.6" x14ac:dyDescent="0.3">
      <c r="A50" s="5">
        <f>IF(ISBLANK(IMTrans[[#This Row],[OpCo2]]),"",COUNTA(IMTrans[[#This Row],[OpCo2]])-(COUNTA(IMTrans[[#This Row],[OpCo2]])-ROW(IMTrans[[#This Row],[OpCo2]])+1))</f>
        <v>49</v>
      </c>
      <c r="B50" s="5" t="s">
        <v>18</v>
      </c>
      <c r="C50" s="6" t="s">
        <v>2</v>
      </c>
      <c r="D50" s="6" t="s">
        <v>22</v>
      </c>
      <c r="E50" s="5" t="s">
        <v>16</v>
      </c>
      <c r="F50" s="23">
        <v>3962869</v>
      </c>
      <c r="G50" s="24">
        <v>3962958</v>
      </c>
      <c r="H50" s="5">
        <v>90</v>
      </c>
      <c r="I50" s="7">
        <v>45869</v>
      </c>
      <c r="J50" s="7"/>
      <c r="K50" s="22">
        <v>81959688</v>
      </c>
      <c r="L50" s="7">
        <v>45979</v>
      </c>
      <c r="M50" s="11">
        <v>194.19</v>
      </c>
      <c r="N50" s="6" t="s">
        <v>19</v>
      </c>
      <c r="O50" s="5">
        <v>78100875</v>
      </c>
      <c r="P50" s="29" t="s">
        <v>16</v>
      </c>
      <c r="Q50" s="5">
        <f>IF(ISBLANK(IMTrans[[#This Row],[PO Number]]),"",IF(ISBLANK(IMTrans[[#This Row],[Recv Date]]),0,1))</f>
        <v>1</v>
      </c>
      <c r="R50" s="5"/>
    </row>
    <row r="51" spans="1:18" ht="15.6" x14ac:dyDescent="0.3">
      <c r="A51" s="5" t="str">
        <f>IF(ISBLANK(IMTrans[[#This Row],[OpCo2]]),"",COUNTA(IMTrans[[#This Row],[OpCo2]])-(COUNTA(IMTrans[[#This Row],[OpCo2]])-ROW(IMTrans[[#This Row],[OpCo2]])+1))</f>
        <v/>
      </c>
      <c r="B51" s="5"/>
      <c r="C51" s="6"/>
      <c r="D51" s="6"/>
      <c r="E51" s="5"/>
      <c r="F51" s="23"/>
      <c r="G51" s="24"/>
      <c r="H51" s="5"/>
      <c r="I51" s="7"/>
      <c r="J51" s="7"/>
      <c r="K51" s="22"/>
      <c r="L51" s="7"/>
      <c r="M51" s="11"/>
      <c r="N51" s="6"/>
      <c r="O51" s="5"/>
      <c r="P51" s="29"/>
      <c r="Q51" s="5" t="str">
        <f>IF(ISBLANK(IMTrans[[#This Row],[PO Number]]),"",IF(ISBLANK(IMTrans[[#This Row],[Recv Date]]),0,1))</f>
        <v/>
      </c>
      <c r="R51" s="5"/>
    </row>
    <row r="52" spans="1:18" ht="15.6" x14ac:dyDescent="0.3">
      <c r="A52" s="5" t="str">
        <f>IF(ISBLANK(IMTrans[[#This Row],[OpCo2]]),"",COUNTA(IMTrans[[#This Row],[OpCo2]])-(COUNTA(IMTrans[[#This Row],[OpCo2]])-ROW(IMTrans[[#This Row],[OpCo2]])+1))</f>
        <v/>
      </c>
      <c r="B52" s="5"/>
      <c r="C52" s="6"/>
      <c r="D52" s="6"/>
      <c r="E52" s="5"/>
      <c r="F52" s="23"/>
      <c r="G52" s="24"/>
      <c r="H52" s="5"/>
      <c r="I52" s="7"/>
      <c r="J52" s="7"/>
      <c r="K52" s="22"/>
      <c r="L52" s="7"/>
      <c r="M52" s="11"/>
      <c r="N52" s="6"/>
      <c r="O52" s="5"/>
      <c r="P52" s="29"/>
      <c r="Q52" s="5" t="str">
        <f>IF(ISBLANK(IMTrans[[#This Row],[PO Number]]),"",IF(ISBLANK(IMTrans[[#This Row],[Recv Date]]),0,1))</f>
        <v/>
      </c>
      <c r="R52" s="5"/>
    </row>
    <row r="53" spans="1:18" ht="15.6" x14ac:dyDescent="0.3">
      <c r="A53" s="5" t="str">
        <f>IF(ISBLANK(IMTrans[[#This Row],[OpCo2]]),"",COUNTA(IMTrans[[#This Row],[OpCo2]])-(COUNTA(IMTrans[[#This Row],[OpCo2]])-ROW(IMTrans[[#This Row],[OpCo2]])+1))</f>
        <v/>
      </c>
      <c r="B53" s="5"/>
      <c r="C53" s="6"/>
      <c r="D53" s="6"/>
      <c r="E53" s="5"/>
      <c r="F53" s="23"/>
      <c r="G53" s="24"/>
      <c r="H53" s="5"/>
      <c r="I53" s="7"/>
      <c r="J53" s="7"/>
      <c r="K53" s="22"/>
      <c r="L53" s="7"/>
      <c r="M53" s="11"/>
      <c r="N53" s="6"/>
      <c r="O53" s="5"/>
      <c r="P53" s="29"/>
      <c r="Q53" s="5" t="str">
        <f>IF(ISBLANK(IMTrans[[#This Row],[PO Number]]),"",IF(ISBLANK(IMTrans[[#This Row],[Recv Date]]),0,1))</f>
        <v/>
      </c>
      <c r="R53" s="5"/>
    </row>
    <row r="54" spans="1:18" ht="15.6" x14ac:dyDescent="0.3">
      <c r="A54" s="5"/>
      <c r="B54" s="5"/>
      <c r="C54" s="6"/>
      <c r="D54" s="6"/>
      <c r="E54" s="5"/>
      <c r="F54" s="5"/>
      <c r="G54" s="5"/>
      <c r="H54" s="5"/>
      <c r="I54" s="7"/>
      <c r="J54" s="7"/>
      <c r="K54" s="29"/>
      <c r="L54" s="7"/>
      <c r="M54" s="11"/>
      <c r="N54" s="6"/>
      <c r="O54" s="5"/>
      <c r="P54" s="29"/>
      <c r="Q54" s="5"/>
      <c r="R54" s="5"/>
    </row>
    <row r="55" spans="1:18" ht="15.6" x14ac:dyDescent="0.3">
      <c r="A55" s="5"/>
      <c r="B55" s="5"/>
      <c r="C55" s="6"/>
      <c r="D55" s="6"/>
      <c r="E55" s="5"/>
      <c r="F55" s="5"/>
      <c r="G55" s="5"/>
      <c r="H55" s="5"/>
      <c r="I55" s="7"/>
      <c r="J55" s="7"/>
      <c r="K55" s="29"/>
      <c r="L55" s="7"/>
      <c r="M55" s="11"/>
      <c r="N55" s="6"/>
      <c r="O55" s="5"/>
      <c r="P55" s="29"/>
      <c r="Q55" s="5"/>
      <c r="R55" s="5"/>
    </row>
  </sheetData>
  <phoneticPr fontId="6" type="noConversion"/>
  <conditionalFormatting sqref="B1 P1">
    <cfRule type="expression" dxfId="5" priority="2">
      <formula>$B1="IM"</formula>
    </cfRule>
    <cfRule type="expression" dxfId="4" priority="3">
      <formula>$B1="OH"</formula>
    </cfRule>
  </conditionalFormatting>
  <conditionalFormatting sqref="B2:B1048576 P2:P1048576">
    <cfRule type="expression" dxfId="3" priority="7">
      <formula>$B2="IM"</formula>
    </cfRule>
    <cfRule type="expression" dxfId="2" priority="8">
      <formula>$B2="OH"</formula>
    </cfRule>
  </conditionalFormatting>
  <conditionalFormatting sqref="F9">
    <cfRule type="duplicateValues" dxfId="1" priority="9"/>
  </conditionalFormatting>
  <pageMargins left="0.7" right="0.7" top="0.75" bottom="0.75" header="0.3" footer="0.3"/>
  <pageSetup orientation="portrait" r:id="rId1"/>
  <ignoredErrors>
    <ignoredError sqref="N17:O17" numberStoredAsText="1"/>
  </ignoredErrors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819476AF-3247-4812-A1BF-0A82DFEA194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P56:P1048576 Q54:Q55</xm:sqref>
        </x14:conditionalFormatting>
        <x14:conditionalFormatting xmlns:xm="http://schemas.microsoft.com/office/excel/2006/main">
          <x14:cfRule type="iconSet" priority="1" id="{D2835E66-2A1C-4F30-A552-F15181E5CD8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Q1</xm:sqref>
        </x14:conditionalFormatting>
        <x14:conditionalFormatting xmlns:xm="http://schemas.microsoft.com/office/excel/2006/main">
          <x14:cfRule type="iconSet" priority="4" id="{EEBE4457-7531-4BCD-BF5B-BBD6577A35F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Q2:Q53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lOWMwYjhkNy1iZGI0LTRmZDMtYjYyYS1mNTAzMjdhYWVmY2UiIG9yaWdpbj0idXNlclNlbGVjdGVkIj48ZWxlbWVudCB1aWQ9IjUwYzMxODI0LTA3ODAtNDkxMC04N2QxLWVhYWZmZDE4MmQ0MiIgdmFsdWU9IiIgeG1sbnM9Imh0dHA6Ly93d3cuYm9sZG9uamFtZXMuY29tLzIwMDgvMDEvc2llL2ludGVybmFsL2xhYmVsIiAvPjxlbGVtZW50IHVpZD0iZDE0ZjVjMzYtZjQ0YS00MzE1LWI0MzgtMDA1Y2ZlOGYwNjlmIiB2YWx1ZT0iIiB4bWxucz0iaHR0cDovL3d3dy5ib2xkb25qYW1lcy5jb20vMjAwOC8wMS9zaWUvaW50ZXJuYWwvbGFiZWwiIC8+PC9zaXNsPjxVc2VyTmFtZT5DT1JQXHMzNTY4MTg8L1VzZXJOYW1lPjxEYXRlVGltZT4xMS8yMC8yMDIzIDM6MDc6MzUgUE08L0RhdGVUaW1lPjxMYWJlbFN0cmluZz5BRVAgSW50ZXJuYWw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e9c0b8d7-bdb4-4fd3-b62a-f50327aaefce" origin="userSelected">
  <element uid="50c31824-0780-4910-87d1-eaaffd182d42" value=""/>
  <element uid="d14f5c36-f44a-4315-b438-005cfe8f069f" value=""/>
</sisl>
</file>

<file path=customXml/itemProps1.xml><?xml version="1.0" encoding="utf-8"?>
<ds:datastoreItem xmlns:ds="http://schemas.openxmlformats.org/officeDocument/2006/customXml" ds:itemID="{09623FA2-0B70-4153-883B-1C1218C7CFDA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22E1E952-547B-486D-BFB8-0C9CAB09306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OH - Meters</vt:lpstr>
      <vt:lpstr>I&amp;M - Meters</vt:lpstr>
      <vt:lpstr>OH - Transformers</vt:lpstr>
      <vt:lpstr>I&amp;M - Transformers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s245451</dc:creator>
  <cp:lastModifiedBy>Gary Christen</cp:lastModifiedBy>
  <cp:lastPrinted>2023-09-15T17:33:49Z</cp:lastPrinted>
  <dcterms:created xsi:type="dcterms:W3CDTF">2023-05-09T14:53:58Z</dcterms:created>
  <dcterms:modified xsi:type="dcterms:W3CDTF">2026-04-05T15:17:15Z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3c6572a5-de76-48eb-b3b1-c10285725d60</vt:lpwstr>
  </property>
  <property fmtid="{D5CDD505-2E9C-101B-9397-08002B2CF9AE}" pid="3" name="bjSaver">
    <vt:lpwstr>GZ/RoiEAEvAdeHgx8NDpCj76kDTvRoI0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policy="e9c0b8d7-bdb4-4fd3-b62a-f50327aaefce" origin="userSelected" xmlns="http://www.boldonj</vt:lpwstr>
  </property>
  <property fmtid="{D5CDD505-2E9C-101B-9397-08002B2CF9AE}" pid="5" name="bjDocumentLabelXML-0">
    <vt:lpwstr>ames.com/2008/01/sie/internal/label"&gt;&lt;element uid="50c31824-0780-4910-87d1-eaaffd182d42" value="" /&gt;&lt;element uid="d14f5c36-f44a-4315-b438-005cfe8f069f" value="" /&gt;&lt;/sisl&gt;</vt:lpwstr>
  </property>
  <property fmtid="{D5CDD505-2E9C-101B-9397-08002B2CF9AE}" pid="6" name="bjDocumentSecurityLabel">
    <vt:lpwstr>AEP Internal</vt:lpwstr>
  </property>
  <property fmtid="{D5CDD505-2E9C-101B-9397-08002B2CF9AE}" pid="7" name="MSIP_Label_69f43042-6bda-44b2-91eb-eca3d3d484f4_SiteId">
    <vt:lpwstr>15f3c881-6b03-4ff6-8559-77bf5177818f</vt:lpwstr>
  </property>
  <property fmtid="{D5CDD505-2E9C-101B-9397-08002B2CF9AE}" pid="8" name="MSIP_Label_69f43042-6bda-44b2-91eb-eca3d3d484f4_Name">
    <vt:lpwstr>AEP Internal</vt:lpwstr>
  </property>
  <property fmtid="{D5CDD505-2E9C-101B-9397-08002B2CF9AE}" pid="9" name="MSIP_Label_69f43042-6bda-44b2-91eb-eca3d3d484f4_Enabled">
    <vt:lpwstr>true</vt:lpwstr>
  </property>
  <property fmtid="{D5CDD505-2E9C-101B-9397-08002B2CF9AE}" pid="10" name="bjClsUserRVM">
    <vt:lpwstr>[]</vt:lpwstr>
  </property>
  <property fmtid="{D5CDD505-2E9C-101B-9397-08002B2CF9AE}" pid="11" name="bjLabelHistoryID">
    <vt:lpwstr>{09623FA2-0B70-4153-883B-1C1218C7CFDA}</vt:lpwstr>
  </property>
</Properties>
</file>